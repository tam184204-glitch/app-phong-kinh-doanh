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Phòng kinh doanh\bảng hàng các dự án\BH 2025\Chính sách bán hàng- Chung cư\bảng giá CTS\"/>
    </mc:Choice>
  </mc:AlternateContent>
  <bookViews>
    <workbookView xWindow="0" yWindow="0" windowWidth="28800" windowHeight="10230" activeTab="1"/>
  </bookViews>
  <sheets>
    <sheet name="Sheet1" sheetId="2" r:id="rId1"/>
    <sheet name="K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G3" i="1" s="1"/>
  <c r="H3" i="1" s="1"/>
  <c r="K3" i="1" s="1"/>
  <c r="I3" i="1"/>
  <c r="E4" i="1"/>
  <c r="G4" i="1" s="1"/>
  <c r="H4" i="1" s="1"/>
  <c r="I4" i="1"/>
  <c r="E5" i="1"/>
  <c r="G5" i="1" s="1"/>
  <c r="H5" i="1" s="1"/>
  <c r="K5" i="1" s="1"/>
  <c r="I5" i="1"/>
  <c r="E6" i="1"/>
  <c r="I6" i="1" s="1"/>
  <c r="E7" i="1"/>
  <c r="G7" i="1" s="1"/>
  <c r="H7" i="1" s="1"/>
  <c r="I7" i="1"/>
  <c r="K7" i="1"/>
  <c r="E8" i="1"/>
  <c r="G8" i="1" s="1"/>
  <c r="H8" i="1"/>
  <c r="I8" i="1"/>
  <c r="E9" i="1"/>
  <c r="G9" i="1" s="1"/>
  <c r="H9" i="1" s="1"/>
  <c r="E10" i="1"/>
  <c r="I10" i="1" s="1"/>
  <c r="E11" i="1"/>
  <c r="G11" i="1" s="1"/>
  <c r="H11" i="1" s="1"/>
  <c r="I11" i="1"/>
  <c r="E12" i="1"/>
  <c r="G12" i="1" s="1"/>
  <c r="H12" i="1"/>
  <c r="E13" i="1"/>
  <c r="I13" i="1" s="1"/>
  <c r="G13" i="1"/>
  <c r="H13" i="1"/>
  <c r="E14" i="1"/>
  <c r="I14" i="1" s="1"/>
  <c r="G14" i="1"/>
  <c r="H14" i="1" s="1"/>
  <c r="K14" i="1"/>
  <c r="E15" i="1"/>
  <c r="G15" i="1" s="1"/>
  <c r="H15" i="1" s="1"/>
  <c r="E16" i="1"/>
  <c r="G16" i="1" s="1"/>
  <c r="H16" i="1"/>
  <c r="I16" i="1"/>
  <c r="E17" i="1"/>
  <c r="G17" i="1"/>
  <c r="H17" i="1"/>
  <c r="I17" i="1"/>
  <c r="E18" i="1"/>
  <c r="I18" i="1" s="1"/>
  <c r="G18" i="1"/>
  <c r="H18" i="1" s="1"/>
  <c r="K18" i="1"/>
  <c r="E19" i="1"/>
  <c r="G19" i="1" s="1"/>
  <c r="H19" i="1" s="1"/>
  <c r="E20" i="1"/>
  <c r="G20" i="1" s="1"/>
  <c r="H20" i="1" s="1"/>
  <c r="I20" i="1"/>
  <c r="E21" i="1"/>
  <c r="G21" i="1" s="1"/>
  <c r="H21" i="1" s="1"/>
  <c r="E22" i="1"/>
  <c r="I22" i="1" s="1"/>
  <c r="G22" i="1"/>
  <c r="H22" i="1" s="1"/>
  <c r="K22" i="1" s="1"/>
  <c r="E23" i="1"/>
  <c r="G23" i="1" s="1"/>
  <c r="H23" i="1" s="1"/>
  <c r="I23" i="1"/>
  <c r="K23" i="1"/>
  <c r="E24" i="1"/>
  <c r="G24" i="1" s="1"/>
  <c r="H24" i="1" s="1"/>
  <c r="E25" i="1"/>
  <c r="I25" i="1" s="1"/>
  <c r="G25" i="1"/>
  <c r="H25" i="1" s="1"/>
  <c r="K25" i="1" s="1"/>
  <c r="E26" i="1"/>
  <c r="I26" i="1" s="1"/>
  <c r="E27" i="1"/>
  <c r="G27" i="1" s="1"/>
  <c r="H27" i="1" s="1"/>
  <c r="E28" i="1"/>
  <c r="G28" i="1" s="1"/>
  <c r="H28" i="1"/>
  <c r="I28" i="1"/>
  <c r="E29" i="1"/>
  <c r="G29" i="1"/>
  <c r="H29" i="1"/>
  <c r="I29" i="1"/>
  <c r="E30" i="1"/>
  <c r="I30" i="1" s="1"/>
  <c r="G30" i="1"/>
  <c r="H30" i="1" s="1"/>
  <c r="K30" i="1"/>
  <c r="E31" i="1"/>
  <c r="G31" i="1" s="1"/>
  <c r="H31" i="1" s="1"/>
  <c r="E32" i="1"/>
  <c r="G32" i="1" s="1"/>
  <c r="H32" i="1"/>
  <c r="I32" i="1"/>
  <c r="E33" i="1"/>
  <c r="G33" i="1" s="1"/>
  <c r="H33" i="1" s="1"/>
  <c r="E34" i="1"/>
  <c r="I34" i="1" s="1"/>
  <c r="E35" i="1"/>
  <c r="G35" i="1" s="1"/>
  <c r="H35" i="1" s="1"/>
  <c r="I35" i="1"/>
  <c r="E36" i="1"/>
  <c r="G36" i="1" s="1"/>
  <c r="H36" i="1" s="1"/>
  <c r="I36" i="1"/>
  <c r="E37" i="1"/>
  <c r="I37" i="1" s="1"/>
  <c r="G37" i="1"/>
  <c r="H37" i="1" s="1"/>
  <c r="E38" i="1"/>
  <c r="I38" i="1" s="1"/>
  <c r="G38" i="1"/>
  <c r="H38" i="1" s="1"/>
  <c r="K38" i="1" s="1"/>
  <c r="E39" i="1"/>
  <c r="G39" i="1" s="1"/>
  <c r="H39" i="1" s="1"/>
  <c r="E40" i="1"/>
  <c r="G40" i="1" s="1"/>
  <c r="H40" i="1"/>
  <c r="E41" i="1"/>
  <c r="I41" i="1" s="1"/>
  <c r="G41" i="1"/>
  <c r="H41" i="1"/>
  <c r="E42" i="1"/>
  <c r="I42" i="1" s="1"/>
  <c r="E43" i="1"/>
  <c r="G43" i="1" s="1"/>
  <c r="H43" i="1" s="1"/>
  <c r="I43" i="1"/>
  <c r="E44" i="1"/>
  <c r="G44" i="1" s="1"/>
  <c r="H44" i="1"/>
  <c r="I44" i="1"/>
  <c r="E45" i="1"/>
  <c r="G45" i="1" s="1"/>
  <c r="H45" i="1" s="1"/>
  <c r="E46" i="1"/>
  <c r="I46" i="1" s="1"/>
  <c r="E47" i="1"/>
  <c r="G47" i="1" s="1"/>
  <c r="H47" i="1" s="1"/>
  <c r="E48" i="1"/>
  <c r="G48" i="1" s="1"/>
  <c r="H48" i="1" s="1"/>
  <c r="E49" i="1"/>
  <c r="I49" i="1" s="1"/>
  <c r="G49" i="1"/>
  <c r="H49" i="1" s="1"/>
  <c r="K49" i="1" s="1"/>
  <c r="E50" i="1"/>
  <c r="I50" i="1" s="1"/>
  <c r="G50" i="1"/>
  <c r="H50" i="1" s="1"/>
  <c r="K50" i="1" s="1"/>
  <c r="E51" i="1"/>
  <c r="G51" i="1" s="1"/>
  <c r="H51" i="1" s="1"/>
  <c r="I51" i="1"/>
  <c r="E52" i="1"/>
  <c r="G52" i="1" s="1"/>
  <c r="H52" i="1" s="1"/>
  <c r="E53" i="1"/>
  <c r="G53" i="1"/>
  <c r="H53" i="1" s="1"/>
  <c r="I53" i="1"/>
  <c r="E54" i="1"/>
  <c r="I54" i="1" s="1"/>
  <c r="G54" i="1"/>
  <c r="H54" i="1" s="1"/>
  <c r="K54" i="1" s="1"/>
  <c r="E55" i="1"/>
  <c r="G55" i="1" s="1"/>
  <c r="H55" i="1" s="1"/>
  <c r="K55" i="1" s="1"/>
  <c r="I55" i="1"/>
  <c r="E56" i="1"/>
  <c r="G56" i="1" s="1"/>
  <c r="H56" i="1"/>
  <c r="I56" i="1"/>
  <c r="E57" i="1"/>
  <c r="G57" i="1"/>
  <c r="H57" i="1"/>
  <c r="I57" i="1"/>
  <c r="E58" i="1"/>
  <c r="I58" i="1" s="1"/>
  <c r="E59" i="1"/>
  <c r="G59" i="1" s="1"/>
  <c r="H59" i="1" s="1"/>
  <c r="I59" i="1"/>
  <c r="E60" i="1"/>
  <c r="G60" i="1" s="1"/>
  <c r="H60" i="1" s="1"/>
  <c r="E61" i="1"/>
  <c r="I61" i="1" s="1"/>
  <c r="G61" i="1"/>
  <c r="H61" i="1" s="1"/>
  <c r="E62" i="1"/>
  <c r="I62" i="1" s="1"/>
  <c r="G62" i="1"/>
  <c r="H62" i="1" s="1"/>
  <c r="K62" i="1" s="1"/>
  <c r="E63" i="1"/>
  <c r="G63" i="1"/>
  <c r="H63" i="1" s="1"/>
  <c r="I63" i="1"/>
  <c r="E64" i="1"/>
  <c r="G64" i="1" s="1"/>
  <c r="H64" i="1"/>
  <c r="I64" i="1"/>
  <c r="E65" i="1"/>
  <c r="G65" i="1" s="1"/>
  <c r="H65" i="1" s="1"/>
  <c r="E66" i="1"/>
  <c r="I66" i="1" s="1"/>
  <c r="E67" i="1"/>
  <c r="I67" i="1" s="1"/>
  <c r="G67" i="1"/>
  <c r="H67" i="1" s="1"/>
  <c r="E68" i="1"/>
  <c r="G68" i="1" s="1"/>
  <c r="H68" i="1"/>
  <c r="I68" i="1"/>
  <c r="E69" i="1"/>
  <c r="G69" i="1"/>
  <c r="H69" i="1"/>
  <c r="I69" i="1"/>
  <c r="E70" i="1"/>
  <c r="I70" i="1" s="1"/>
  <c r="G70" i="1"/>
  <c r="H70" i="1"/>
  <c r="K70" i="1" s="1"/>
  <c r="E71" i="1"/>
  <c r="G71" i="1" s="1"/>
  <c r="H71" i="1" s="1"/>
  <c r="E72" i="1"/>
  <c r="G72" i="1" s="1"/>
  <c r="H72" i="1"/>
  <c r="E73" i="1"/>
  <c r="I73" i="1" s="1"/>
  <c r="G73" i="1"/>
  <c r="H73" i="1"/>
  <c r="E74" i="1"/>
  <c r="I74" i="1" s="1"/>
  <c r="G74" i="1"/>
  <c r="H74" i="1"/>
  <c r="K74" i="1" s="1"/>
  <c r="E75" i="1"/>
  <c r="G75" i="1"/>
  <c r="H75" i="1" s="1"/>
  <c r="I75" i="1"/>
  <c r="E76" i="1"/>
  <c r="G76" i="1" s="1"/>
  <c r="H76" i="1" s="1"/>
  <c r="E77" i="1"/>
  <c r="I77" i="1" s="1"/>
  <c r="G77" i="1"/>
  <c r="H77" i="1" s="1"/>
  <c r="E78" i="1"/>
  <c r="I78" i="1" s="1"/>
  <c r="G78" i="1"/>
  <c r="H78" i="1" s="1"/>
  <c r="K78" i="1" s="1"/>
  <c r="E79" i="1"/>
  <c r="G79" i="1"/>
  <c r="H79" i="1" s="1"/>
  <c r="I79" i="1"/>
  <c r="E80" i="1"/>
  <c r="G80" i="1" s="1"/>
  <c r="H80" i="1"/>
  <c r="I80" i="1"/>
  <c r="E81" i="1"/>
  <c r="G81" i="1" s="1"/>
  <c r="H81" i="1" s="1"/>
  <c r="E82" i="1"/>
  <c r="I82" i="1" s="1"/>
  <c r="E83" i="1"/>
  <c r="I83" i="1" s="1"/>
  <c r="G83" i="1"/>
  <c r="H83" i="1" s="1"/>
  <c r="E84" i="1"/>
  <c r="G84" i="1" s="1"/>
  <c r="H84" i="1"/>
  <c r="I84" i="1"/>
  <c r="E85" i="1"/>
  <c r="G85" i="1"/>
  <c r="H85" i="1"/>
  <c r="I85" i="1"/>
  <c r="E86" i="1"/>
  <c r="I86" i="1" s="1"/>
  <c r="G86" i="1"/>
  <c r="H86" i="1"/>
  <c r="K86" i="1" s="1"/>
  <c r="E87" i="1"/>
  <c r="G87" i="1" s="1"/>
  <c r="H87" i="1" s="1"/>
  <c r="E88" i="1"/>
  <c r="I88" i="1" s="1"/>
  <c r="G88" i="1"/>
  <c r="H88" i="1" s="1"/>
  <c r="K88" i="1" s="1"/>
  <c r="E89" i="1"/>
  <c r="I89" i="1" s="1"/>
  <c r="G89" i="1"/>
  <c r="H89" i="1" s="1"/>
  <c r="E90" i="1"/>
  <c r="I90" i="1" s="1"/>
  <c r="G90" i="1"/>
  <c r="H90" i="1" s="1"/>
  <c r="K90" i="1" s="1"/>
  <c r="E91" i="1"/>
  <c r="G91" i="1" s="1"/>
  <c r="H91" i="1" s="1"/>
  <c r="E92" i="1"/>
  <c r="G92" i="1"/>
  <c r="H92" i="1"/>
  <c r="I92" i="1"/>
  <c r="E93" i="1"/>
  <c r="I93" i="1" s="1"/>
  <c r="G93" i="1"/>
  <c r="H93" i="1"/>
  <c r="K93" i="1" s="1"/>
  <c r="E94" i="1"/>
  <c r="I94" i="1" s="1"/>
  <c r="E95" i="1"/>
  <c r="G95" i="1" s="1"/>
  <c r="H95" i="1" s="1"/>
  <c r="E96" i="1"/>
  <c r="I96" i="1" s="1"/>
  <c r="G96" i="1"/>
  <c r="H96" i="1" s="1"/>
  <c r="K96" i="1" s="1"/>
  <c r="E97" i="1"/>
  <c r="I97" i="1" s="1"/>
  <c r="G97" i="1"/>
  <c r="H97" i="1" s="1"/>
  <c r="E98" i="1"/>
  <c r="I98" i="1" s="1"/>
  <c r="G98" i="1"/>
  <c r="H98" i="1" s="1"/>
  <c r="K98" i="1" s="1"/>
  <c r="E99" i="1"/>
  <c r="G99" i="1" s="1"/>
  <c r="H99" i="1" s="1"/>
  <c r="E100" i="1"/>
  <c r="G100" i="1"/>
  <c r="H100" i="1"/>
  <c r="I100" i="1"/>
  <c r="E101" i="1"/>
  <c r="I101" i="1" s="1"/>
  <c r="G101" i="1"/>
  <c r="H101" i="1"/>
  <c r="K101" i="1" s="1"/>
  <c r="E102" i="1"/>
  <c r="I102" i="1" s="1"/>
  <c r="E103" i="1"/>
  <c r="G103" i="1" s="1"/>
  <c r="H103" i="1" s="1"/>
  <c r="E104" i="1"/>
  <c r="I104" i="1" s="1"/>
  <c r="G104" i="1"/>
  <c r="H104" i="1" s="1"/>
  <c r="K104" i="1" s="1"/>
  <c r="E105" i="1"/>
  <c r="I105" i="1" s="1"/>
  <c r="G105" i="1"/>
  <c r="H105" i="1" s="1"/>
  <c r="E106" i="1"/>
  <c r="I106" i="1" s="1"/>
  <c r="G106" i="1"/>
  <c r="H106" i="1" s="1"/>
  <c r="K106" i="1" s="1"/>
  <c r="E107" i="1"/>
  <c r="G107" i="1" s="1"/>
  <c r="H107" i="1" s="1"/>
  <c r="E108" i="1"/>
  <c r="G108" i="1"/>
  <c r="H108" i="1"/>
  <c r="I108" i="1"/>
  <c r="E109" i="1"/>
  <c r="I109" i="1" s="1"/>
  <c r="G109" i="1"/>
  <c r="H109" i="1"/>
  <c r="K109" i="1" s="1"/>
  <c r="E110" i="1"/>
  <c r="I110" i="1" s="1"/>
  <c r="E111" i="1"/>
  <c r="G111" i="1" s="1"/>
  <c r="H111" i="1" s="1"/>
  <c r="E112" i="1"/>
  <c r="I112" i="1" s="1"/>
  <c r="G112" i="1"/>
  <c r="H112" i="1" s="1"/>
  <c r="K112" i="1" s="1"/>
  <c r="E113" i="1"/>
  <c r="I113" i="1" s="1"/>
  <c r="G113" i="1"/>
  <c r="H113" i="1" s="1"/>
  <c r="I2" i="1"/>
  <c r="E2" i="1"/>
  <c r="G2" i="1" s="1"/>
  <c r="H2" i="1" s="1"/>
  <c r="K2" i="1" s="1"/>
  <c r="K21" i="1" l="1"/>
  <c r="K87" i="1"/>
  <c r="K67" i="1"/>
  <c r="K52" i="1"/>
  <c r="K100" i="1"/>
  <c r="K84" i="1"/>
  <c r="I81" i="1"/>
  <c r="K81" i="1" s="1"/>
  <c r="K79" i="1"/>
  <c r="I65" i="1"/>
  <c r="K63" i="1"/>
  <c r="K57" i="1"/>
  <c r="I45" i="1"/>
  <c r="K45" i="1" s="1"/>
  <c r="K35" i="1"/>
  <c r="I33" i="1"/>
  <c r="K33" i="1" s="1"/>
  <c r="K29" i="1"/>
  <c r="K17" i="1"/>
  <c r="I9" i="1"/>
  <c r="K9" i="1" s="1"/>
  <c r="I87" i="1"/>
  <c r="K80" i="1"/>
  <c r="I76" i="1"/>
  <c r="K76" i="1" s="1"/>
  <c r="K75" i="1"/>
  <c r="I71" i="1"/>
  <c r="K71" i="1" s="1"/>
  <c r="K64" i="1"/>
  <c r="I60" i="1"/>
  <c r="K59" i="1"/>
  <c r="K51" i="1"/>
  <c r="I48" i="1"/>
  <c r="K48" i="1" s="1"/>
  <c r="K32" i="1"/>
  <c r="I24" i="1"/>
  <c r="I21" i="1"/>
  <c r="K20" i="1"/>
  <c r="K83" i="1"/>
  <c r="K41" i="1"/>
  <c r="K37" i="1"/>
  <c r="K19" i="1"/>
  <c r="K13" i="1"/>
  <c r="K108" i="1"/>
  <c r="K92" i="1"/>
  <c r="K68" i="1"/>
  <c r="K53" i="1"/>
  <c r="K43" i="1"/>
  <c r="K16" i="1"/>
  <c r="K4" i="1"/>
  <c r="G110" i="1"/>
  <c r="H110" i="1" s="1"/>
  <c r="G102" i="1"/>
  <c r="H102" i="1" s="1"/>
  <c r="G94" i="1"/>
  <c r="H94" i="1" s="1"/>
  <c r="G82" i="1"/>
  <c r="H82" i="1" s="1"/>
  <c r="K82" i="1" s="1"/>
  <c r="I72" i="1"/>
  <c r="K72" i="1" s="1"/>
  <c r="G66" i="1"/>
  <c r="H66" i="1" s="1"/>
  <c r="K66" i="1" s="1"/>
  <c r="I52" i="1"/>
  <c r="G46" i="1"/>
  <c r="H46" i="1" s="1"/>
  <c r="K46" i="1" s="1"/>
  <c r="I40" i="1"/>
  <c r="I39" i="1"/>
  <c r="K39" i="1" s="1"/>
  <c r="K36" i="1"/>
  <c r="G34" i="1"/>
  <c r="H34" i="1" s="1"/>
  <c r="K34" i="1" s="1"/>
  <c r="I27" i="1"/>
  <c r="K27" i="1" s="1"/>
  <c r="I19" i="1"/>
  <c r="I12" i="1"/>
  <c r="K11" i="1"/>
  <c r="G6" i="1"/>
  <c r="H6" i="1" s="1"/>
  <c r="K6" i="1" s="1"/>
  <c r="K31" i="1"/>
  <c r="K113" i="1"/>
  <c r="K110" i="1"/>
  <c r="K105" i="1"/>
  <c r="K102" i="1"/>
  <c r="K97" i="1"/>
  <c r="K94" i="1"/>
  <c r="K89" i="1"/>
  <c r="I111" i="1"/>
  <c r="K111" i="1" s="1"/>
  <c r="I107" i="1"/>
  <c r="K107" i="1" s="1"/>
  <c r="I103" i="1"/>
  <c r="K103" i="1" s="1"/>
  <c r="I99" i="1"/>
  <c r="K99" i="1" s="1"/>
  <c r="I95" i="1"/>
  <c r="K95" i="1" s="1"/>
  <c r="I91" i="1"/>
  <c r="K91" i="1" s="1"/>
  <c r="K65" i="1"/>
  <c r="K44" i="1"/>
  <c r="K28" i="1"/>
  <c r="K12" i="1"/>
  <c r="K40" i="1"/>
  <c r="K24" i="1"/>
  <c r="K8" i="1"/>
  <c r="K85" i="1"/>
  <c r="K77" i="1"/>
  <c r="K73" i="1"/>
  <c r="K69" i="1"/>
  <c r="K61" i="1"/>
  <c r="K60" i="1"/>
  <c r="K56" i="1"/>
  <c r="G58" i="1"/>
  <c r="H58" i="1" s="1"/>
  <c r="K58" i="1" s="1"/>
  <c r="I47" i="1"/>
  <c r="K47" i="1" s="1"/>
  <c r="G42" i="1"/>
  <c r="H42" i="1" s="1"/>
  <c r="K42" i="1" s="1"/>
  <c r="I31" i="1"/>
  <c r="G26" i="1"/>
  <c r="H26" i="1" s="1"/>
  <c r="K26" i="1" s="1"/>
  <c r="I15" i="1"/>
  <c r="K15" i="1" s="1"/>
  <c r="G10" i="1"/>
  <c r="H10" i="1" s="1"/>
  <c r="K10" i="1" s="1"/>
  <c r="H2" i="2"/>
  <c r="H3" i="2"/>
  <c r="H4" i="2"/>
  <c r="H5" i="2"/>
  <c r="H6" i="2"/>
  <c r="H7" i="2"/>
  <c r="H8" i="2"/>
  <c r="H9" i="2"/>
  <c r="H113" i="2" l="1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</calcChain>
</file>

<file path=xl/sharedStrings.xml><?xml version="1.0" encoding="utf-8"?>
<sst xmlns="http://schemas.openxmlformats.org/spreadsheetml/2006/main" count="811" uniqueCount="144">
  <si>
    <t>Mã căn hộ</t>
  </si>
  <si>
    <t>Diện tích xây dựng</t>
  </si>
  <si>
    <t>Mã dự án</t>
  </si>
  <si>
    <t>Hướng cửa chính</t>
  </si>
  <si>
    <t>Hướng ban công</t>
  </si>
  <si>
    <t>CTS-K-0201</t>
  </si>
  <si>
    <t>K</t>
  </si>
  <si>
    <t>Đông Nam</t>
  </si>
  <si>
    <t>Tây Bắc</t>
  </si>
  <si>
    <t>CTS-K-0202</t>
  </si>
  <si>
    <t>CTS-K-0203</t>
  </si>
  <si>
    <t>CTS-K-0204</t>
  </si>
  <si>
    <t>CTS-K-0205</t>
  </si>
  <si>
    <t>CTS-K-0206</t>
  </si>
  <si>
    <t>CTS-K-0207</t>
  </si>
  <si>
    <t>CTS-K-0208</t>
  </si>
  <si>
    <t>CTS-K-0209</t>
  </si>
  <si>
    <t>CTS-K-0210</t>
  </si>
  <si>
    <t>CTS-K-0211</t>
  </si>
  <si>
    <t>CTS-K-0212</t>
  </si>
  <si>
    <t>CTS-K-0213</t>
  </si>
  <si>
    <t>CTS-K-0301</t>
  </si>
  <si>
    <t>CTS-K-0302</t>
  </si>
  <si>
    <t>CTS-K-0303</t>
  </si>
  <si>
    <t>CTS-K-0304</t>
  </si>
  <si>
    <t>CTS-K-0305</t>
  </si>
  <si>
    <t>CTS-K-0306</t>
  </si>
  <si>
    <t>CTS-K-0307</t>
  </si>
  <si>
    <t>CTS-K-0308</t>
  </si>
  <si>
    <t>CTS-K-0309</t>
  </si>
  <si>
    <t>CTS-K-0310</t>
  </si>
  <si>
    <t>CTS-K-0311</t>
  </si>
  <si>
    <t>CTS-K-0312</t>
  </si>
  <si>
    <t>CTS-K-0313</t>
  </si>
  <si>
    <t>CTS-K-0401</t>
  </si>
  <si>
    <t>CTS-K-0402</t>
  </si>
  <si>
    <t>CTS-K-0403</t>
  </si>
  <si>
    <t>CTS-K-0404</t>
  </si>
  <si>
    <t>CTS-K-0405</t>
  </si>
  <si>
    <t>CTS-K-0406</t>
  </si>
  <si>
    <t>CTS-K-0407</t>
  </si>
  <si>
    <t>CTS-K-0408</t>
  </si>
  <si>
    <t>CTS-K-0409</t>
  </si>
  <si>
    <t>CTS-K-0410</t>
  </si>
  <si>
    <t>CTS-K-0411</t>
  </si>
  <si>
    <t>CTS-K-0412</t>
  </si>
  <si>
    <t>CTS-K-0413</t>
  </si>
  <si>
    <t>CTS-K-0501</t>
  </si>
  <si>
    <t>CTS-K-0502</t>
  </si>
  <si>
    <t>CTS-K-0503</t>
  </si>
  <si>
    <t>CTS-K-0504</t>
  </si>
  <si>
    <t>CTS-K-0505</t>
  </si>
  <si>
    <t>CTS-K-0506</t>
  </si>
  <si>
    <t>CTS-K-0507</t>
  </si>
  <si>
    <t>CTS-K-0508</t>
  </si>
  <si>
    <t>CTS-K-0509</t>
  </si>
  <si>
    <t>CTS-K-0510</t>
  </si>
  <si>
    <t>CTS-K-0511</t>
  </si>
  <si>
    <t>CTS-K-0512</t>
  </si>
  <si>
    <t>CTS-K-0513</t>
  </si>
  <si>
    <t>CTS-K-0601</t>
  </si>
  <si>
    <t>CTS-K-0602</t>
  </si>
  <si>
    <t>CTS-K-0603</t>
  </si>
  <si>
    <t>CTS-K-0604</t>
  </si>
  <si>
    <t>CTS-K-0605</t>
  </si>
  <si>
    <t>CTS-K-0606</t>
  </si>
  <si>
    <t>CTS-K-0607</t>
  </si>
  <si>
    <t>CTS-K-0608</t>
  </si>
  <si>
    <t>CTS-K-0609</t>
  </si>
  <si>
    <t>CTS-K-0610</t>
  </si>
  <si>
    <t>CTS-K-0611</t>
  </si>
  <si>
    <t>CTS-K-0612</t>
  </si>
  <si>
    <t>CTS-K-0613</t>
  </si>
  <si>
    <t>CTS-K-0701</t>
  </si>
  <si>
    <t>CTS-K-0702</t>
  </si>
  <si>
    <t>CTS-K-0703</t>
  </si>
  <si>
    <t>CTS-K-0704</t>
  </si>
  <si>
    <t>CTS-K-0705</t>
  </si>
  <si>
    <t>CTS-K-0706</t>
  </si>
  <si>
    <t>CTS-K-0707</t>
  </si>
  <si>
    <t>CTS-K-0708</t>
  </si>
  <si>
    <t>CTS-K-0709</t>
  </si>
  <si>
    <t>CTS-K-0710</t>
  </si>
  <si>
    <t>CTS-K-0711</t>
  </si>
  <si>
    <t>CTS-K-0712</t>
  </si>
  <si>
    <t>CTS-K-0713</t>
  </si>
  <si>
    <t>CTS-K-0801</t>
  </si>
  <si>
    <t>CTS-K-0802</t>
  </si>
  <si>
    <t>CTS-K-0803</t>
  </si>
  <si>
    <t>CTS-K-0804</t>
  </si>
  <si>
    <t>CTS-K-0805</t>
  </si>
  <si>
    <t>CTS-K-0806</t>
  </si>
  <si>
    <t>CTS-K-0807</t>
  </si>
  <si>
    <t>CTS-K-0808</t>
  </si>
  <si>
    <t>CTS-K-0809</t>
  </si>
  <si>
    <t>CTS-K-0810</t>
  </si>
  <si>
    <t>CTS-K-0811</t>
  </si>
  <si>
    <t>CTS-K-0812</t>
  </si>
  <si>
    <t>CTS-K-0813</t>
  </si>
  <si>
    <t>CTS-K-0901</t>
  </si>
  <si>
    <t>CTS-K-0902</t>
  </si>
  <si>
    <t>CTS-K-0903</t>
  </si>
  <si>
    <t>CTS-K-0904</t>
  </si>
  <si>
    <t>CTS-K-0905</t>
  </si>
  <si>
    <t>CTS-K-0906</t>
  </si>
  <si>
    <t>CTS-K-0907</t>
  </si>
  <si>
    <t>CTS-K-0908</t>
  </si>
  <si>
    <t>CTS-K-0909</t>
  </si>
  <si>
    <t>CTS-K-0910</t>
  </si>
  <si>
    <t>CTS-K-0911</t>
  </si>
  <si>
    <t>CTS-K-0912</t>
  </si>
  <si>
    <t>CTS-K-0913</t>
  </si>
  <si>
    <t>CTS-K-101</t>
  </si>
  <si>
    <t>CTS-K-102</t>
  </si>
  <si>
    <t>CTS-K-103</t>
  </si>
  <si>
    <t>CTS-K-104</t>
  </si>
  <si>
    <t>CTS-K-105</t>
  </si>
  <si>
    <t>CTS-K-106</t>
  </si>
  <si>
    <t>CTS-K-107</t>
  </si>
  <si>
    <t>CTS-K-108</t>
  </si>
  <si>
    <t>3 ngủ</t>
  </si>
  <si>
    <t>2 ngủ</t>
  </si>
  <si>
    <t>Mã tòa</t>
  </si>
  <si>
    <t>Đơn giá nền</t>
  </si>
  <si>
    <t>Đơn giá sàn</t>
  </si>
  <si>
    <t>Diện tích nền(M2)</t>
  </si>
  <si>
    <t>Thuế</t>
  </si>
  <si>
    <t>Giá hoàn thiện</t>
  </si>
  <si>
    <t>Phí bảo trì</t>
  </si>
  <si>
    <t>Hệ số vị phí (%)</t>
  </si>
  <si>
    <t>Hệ số vị trí</t>
  </si>
  <si>
    <t>% Đặt cọc</t>
  </si>
  <si>
    <t>Ghi chú</t>
  </si>
  <si>
    <t>Tổng tiền trước thuế</t>
  </si>
  <si>
    <t>% thuế</t>
  </si>
  <si>
    <t>Tổng tiền thuế</t>
  </si>
  <si>
    <t>Tổng giá trị sau thuế</t>
  </si>
  <si>
    <t>Phí bảo trì 2%</t>
  </si>
  <si>
    <t>Giá trị hoàn thiện căn hộ</t>
  </si>
  <si>
    <t>Tổng cộng</t>
  </si>
  <si>
    <t>CTS</t>
  </si>
  <si>
    <t>Loại căn hộ</t>
  </si>
  <si>
    <t>Diện tích thông thủy (XD)</t>
  </si>
  <si>
    <t>Đơn giá thông thủy(vnđ)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</si>
</sst>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0" fontId="4" fillId="0" borderId="1" xfId="2" applyFont="1" applyBorder="1" applyAlignment="1">
      <alignment horizontal="center"/>
    </xf>
    <xf numFmtId="0" fontId="4" fillId="2" borderId="1" xfId="2" applyFont="1" applyFill="1" applyBorder="1" applyAlignment="1">
      <alignment horizontal="center"/>
    </xf>
    <xf numFmtId="0" fontId="4" fillId="3" borderId="1" xfId="2" applyFont="1" applyFill="1" applyBorder="1" applyAlignment="1">
      <alignment horizontal="center"/>
    </xf>
    <xf numFmtId="0" fontId="4" fillId="2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/>
    </xf>
    <xf numFmtId="0" fontId="4" fillId="0" borderId="1" xfId="2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3" fontId="0" fillId="0" borderId="1" xfId="0" applyNumberFormat="1" applyBorder="1"/>
    <xf numFmtId="43" fontId="0" fillId="0" borderId="1" xfId="1" applyFont="1" applyBorder="1"/>
    <xf numFmtId="9" fontId="0" fillId="0" borderId="1" xfId="0" applyNumberFormat="1" applyBorder="1"/>
    <xf numFmtId="164" fontId="0" fillId="0" borderId="1" xfId="1" applyNumberFormat="1" applyFont="1" applyBorder="1"/>
    <xf numFmtId="164" fontId="0" fillId="0" borderId="0" xfId="1" applyNumberFormat="1" applyFont="1"/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9" fontId="1" fillId="0" borderId="1" xfId="3" applyFont="1" applyBorder="1" applyAlignment="1">
      <alignment horizontal="center" vertical="center"/>
    </xf>
    <xf numFmtId="9" fontId="0" fillId="0" borderId="1" xfId="3" applyFont="1" applyBorder="1"/>
    <xf numFmtId="9" fontId="0" fillId="0" borderId="0" xfId="3" applyFont="1"/>
  </cellXfs>
  <cellStyles count="4">
    <cellStyle name="Comma" xfId="1" builtinId="3"/>
    <cellStyle name="Normal" xfId="0" builtinId="0"/>
    <cellStyle name="Normal 3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Views>
    <sheetView topLeftCell="A54" workbookViewId="0">
      <selection activeCell="C2" sqref="C2:C113"/>
    </sheetView>
  </sheetViews>
  <sheetFormatPr defaultRowHeight="15" x14ac:dyDescent="0.25"/>
  <cols>
    <col min="1" max="1" width="7.7109375" customWidth="1"/>
    <col min="2" max="2" width="14.85546875" customWidth="1"/>
    <col min="3" max="3" width="13.28515625" customWidth="1"/>
    <col min="4" max="4" width="12.85546875" customWidth="1"/>
    <col min="5" max="5" width="20.5703125" customWidth="1"/>
    <col min="7" max="7" width="17.140625" customWidth="1"/>
    <col min="8" max="8" width="26.85546875" style="21" customWidth="1"/>
    <col min="9" max="9" width="16.28515625" customWidth="1"/>
    <col min="10" max="10" width="11" customWidth="1"/>
  </cols>
  <sheetData>
    <row r="1" spans="1:12" x14ac:dyDescent="0.25">
      <c r="A1" s="1" t="s">
        <v>122</v>
      </c>
      <c r="B1" s="1" t="s">
        <v>0</v>
      </c>
      <c r="C1" s="15" t="s">
        <v>123</v>
      </c>
      <c r="D1" s="15" t="s">
        <v>124</v>
      </c>
      <c r="E1" s="15" t="s">
        <v>125</v>
      </c>
      <c r="F1" s="15" t="s">
        <v>126</v>
      </c>
      <c r="G1" s="15" t="s">
        <v>127</v>
      </c>
      <c r="H1" s="16" t="s">
        <v>128</v>
      </c>
      <c r="I1" s="15" t="s">
        <v>129</v>
      </c>
      <c r="J1" s="15" t="s">
        <v>130</v>
      </c>
      <c r="K1" s="15" t="s">
        <v>131</v>
      </c>
      <c r="L1" s="15" t="s">
        <v>132</v>
      </c>
    </row>
    <row r="2" spans="1:12" x14ac:dyDescent="0.25">
      <c r="A2" s="1" t="s">
        <v>6</v>
      </c>
      <c r="B2" s="1" t="s">
        <v>112</v>
      </c>
      <c r="C2" s="17">
        <v>16310058</v>
      </c>
      <c r="D2" s="17"/>
      <c r="E2" s="18">
        <v>62</v>
      </c>
      <c r="F2" s="19">
        <v>0.05</v>
      </c>
      <c r="G2" s="15"/>
      <c r="H2" s="20">
        <f t="shared" ref="H2:H9" si="0">ROUND(E2*C2*0.02,-3)</f>
        <v>20224000</v>
      </c>
      <c r="I2" s="15"/>
      <c r="J2" s="15"/>
      <c r="K2" s="15"/>
      <c r="L2" s="15"/>
    </row>
    <row r="3" spans="1:12" x14ac:dyDescent="0.25">
      <c r="A3" s="1" t="s">
        <v>6</v>
      </c>
      <c r="B3" s="1" t="s">
        <v>113</v>
      </c>
      <c r="C3" s="17">
        <v>15990253</v>
      </c>
      <c r="D3" s="17"/>
      <c r="E3" s="18">
        <v>61.4</v>
      </c>
      <c r="F3" s="19">
        <v>0.05</v>
      </c>
      <c r="G3" s="15"/>
      <c r="H3" s="20">
        <f t="shared" si="0"/>
        <v>19636000</v>
      </c>
      <c r="I3" s="15"/>
      <c r="J3" s="15"/>
      <c r="K3" s="15"/>
      <c r="L3" s="15"/>
    </row>
    <row r="4" spans="1:12" x14ac:dyDescent="0.25">
      <c r="A4" s="1" t="s">
        <v>6</v>
      </c>
      <c r="B4" s="1" t="s">
        <v>114</v>
      </c>
      <c r="C4" s="17">
        <v>15990253</v>
      </c>
      <c r="D4" s="17"/>
      <c r="E4" s="18">
        <v>61.2</v>
      </c>
      <c r="F4" s="19">
        <v>0.05</v>
      </c>
      <c r="G4" s="15"/>
      <c r="H4" s="20">
        <f t="shared" si="0"/>
        <v>19572000</v>
      </c>
      <c r="I4" s="15"/>
      <c r="J4" s="15"/>
      <c r="K4" s="15"/>
      <c r="L4" s="15"/>
    </row>
    <row r="5" spans="1:12" x14ac:dyDescent="0.25">
      <c r="A5" s="1" t="s">
        <v>6</v>
      </c>
      <c r="B5" s="1" t="s">
        <v>115</v>
      </c>
      <c r="C5" s="17">
        <v>15990253</v>
      </c>
      <c r="D5" s="17"/>
      <c r="E5" s="18">
        <v>44.7</v>
      </c>
      <c r="F5" s="19">
        <v>0.05</v>
      </c>
      <c r="G5" s="15"/>
      <c r="H5" s="20">
        <f t="shared" si="0"/>
        <v>14295000</v>
      </c>
      <c r="I5" s="15"/>
      <c r="J5" s="15"/>
      <c r="K5" s="15"/>
      <c r="L5" s="15"/>
    </row>
    <row r="6" spans="1:12" x14ac:dyDescent="0.25">
      <c r="A6" s="1" t="s">
        <v>6</v>
      </c>
      <c r="B6" s="1" t="s">
        <v>116</v>
      </c>
      <c r="C6" s="17">
        <v>16310058</v>
      </c>
      <c r="D6" s="17"/>
      <c r="E6" s="18">
        <v>62.5</v>
      </c>
      <c r="F6" s="19">
        <v>0.05</v>
      </c>
      <c r="G6" s="15"/>
      <c r="H6" s="20">
        <f t="shared" si="0"/>
        <v>20388000</v>
      </c>
      <c r="I6" s="15"/>
      <c r="J6" s="15"/>
      <c r="K6" s="15"/>
      <c r="L6" s="15"/>
    </row>
    <row r="7" spans="1:12" x14ac:dyDescent="0.25">
      <c r="A7" s="1" t="s">
        <v>6</v>
      </c>
      <c r="B7" s="1" t="s">
        <v>117</v>
      </c>
      <c r="C7" s="17">
        <v>15990253</v>
      </c>
      <c r="D7" s="17"/>
      <c r="E7" s="18">
        <v>61.9</v>
      </c>
      <c r="F7" s="19">
        <v>0.05</v>
      </c>
      <c r="G7" s="15"/>
      <c r="H7" s="20">
        <f t="shared" si="0"/>
        <v>19796000</v>
      </c>
      <c r="I7" s="15"/>
      <c r="J7" s="15"/>
      <c r="K7" s="15"/>
      <c r="L7" s="15"/>
    </row>
    <row r="8" spans="1:12" x14ac:dyDescent="0.25">
      <c r="A8" s="1" t="s">
        <v>6</v>
      </c>
      <c r="B8" s="1" t="s">
        <v>118</v>
      </c>
      <c r="C8" s="17">
        <v>15990253</v>
      </c>
      <c r="D8" s="17"/>
      <c r="E8" s="18">
        <v>61.6</v>
      </c>
      <c r="F8" s="19">
        <v>0.05</v>
      </c>
      <c r="G8" s="15"/>
      <c r="H8" s="20">
        <f t="shared" si="0"/>
        <v>19700000</v>
      </c>
      <c r="I8" s="15"/>
      <c r="J8" s="15"/>
      <c r="K8" s="15"/>
      <c r="L8" s="15"/>
    </row>
    <row r="9" spans="1:12" x14ac:dyDescent="0.25">
      <c r="A9" s="1" t="s">
        <v>6</v>
      </c>
      <c r="B9" s="1" t="s">
        <v>119</v>
      </c>
      <c r="C9" s="17">
        <v>16310058</v>
      </c>
      <c r="D9" s="17"/>
      <c r="E9" s="18">
        <v>61.6</v>
      </c>
      <c r="F9" s="19">
        <v>0.05</v>
      </c>
      <c r="G9" s="15"/>
      <c r="H9" s="20">
        <f t="shared" si="0"/>
        <v>20094000</v>
      </c>
      <c r="I9" s="15"/>
      <c r="J9" s="15"/>
      <c r="K9" s="15"/>
      <c r="L9" s="15"/>
    </row>
    <row r="10" spans="1:12" x14ac:dyDescent="0.25">
      <c r="A10" s="4" t="s">
        <v>6</v>
      </c>
      <c r="B10" s="4" t="s">
        <v>5</v>
      </c>
      <c r="C10" s="17">
        <v>16310058</v>
      </c>
      <c r="D10" s="4"/>
      <c r="E10" s="18">
        <v>71</v>
      </c>
      <c r="F10" s="19">
        <v>0.05</v>
      </c>
      <c r="G10" s="4"/>
      <c r="H10" s="20">
        <f>ROUND(E10*C10*0.02,-3)</f>
        <v>23160000</v>
      </c>
      <c r="I10" s="4"/>
      <c r="J10" s="4"/>
      <c r="K10" s="4"/>
      <c r="L10" s="4"/>
    </row>
    <row r="11" spans="1:12" x14ac:dyDescent="0.25">
      <c r="A11" s="4" t="s">
        <v>6</v>
      </c>
      <c r="B11" s="4" t="s">
        <v>9</v>
      </c>
      <c r="C11" s="17">
        <v>15990253</v>
      </c>
      <c r="D11" s="4"/>
      <c r="E11" s="18">
        <v>69.5</v>
      </c>
      <c r="F11" s="19">
        <v>0.05</v>
      </c>
      <c r="G11" s="4"/>
      <c r="H11" s="20">
        <f t="shared" ref="H11:H74" si="1">ROUND(E11*C11*0.02,-3)</f>
        <v>22226000</v>
      </c>
      <c r="I11" s="4"/>
      <c r="J11" s="4"/>
      <c r="K11" s="4"/>
      <c r="L11" s="4"/>
    </row>
    <row r="12" spans="1:12" x14ac:dyDescent="0.25">
      <c r="A12" s="4" t="s">
        <v>6</v>
      </c>
      <c r="B12" s="4" t="s">
        <v>10</v>
      </c>
      <c r="C12" s="17">
        <v>15670448</v>
      </c>
      <c r="D12" s="4"/>
      <c r="E12" s="18">
        <v>51.1</v>
      </c>
      <c r="F12" s="19">
        <v>0.05</v>
      </c>
      <c r="G12" s="4"/>
      <c r="H12" s="20">
        <f t="shared" si="1"/>
        <v>16015000</v>
      </c>
      <c r="I12" s="4"/>
      <c r="J12" s="4"/>
      <c r="K12" s="4"/>
      <c r="L12" s="4"/>
    </row>
    <row r="13" spans="1:12" x14ac:dyDescent="0.25">
      <c r="A13" s="4" t="s">
        <v>6</v>
      </c>
      <c r="B13" s="4" t="s">
        <v>11</v>
      </c>
      <c r="C13" s="17">
        <v>15670448</v>
      </c>
      <c r="D13" s="4"/>
      <c r="E13" s="18">
        <v>69.5</v>
      </c>
      <c r="F13" s="19">
        <v>0.05</v>
      </c>
      <c r="G13" s="4"/>
      <c r="H13" s="20">
        <f t="shared" si="1"/>
        <v>21782000</v>
      </c>
      <c r="I13" s="4"/>
      <c r="J13" s="4"/>
      <c r="K13" s="4"/>
      <c r="L13" s="4"/>
    </row>
    <row r="14" spans="1:12" x14ac:dyDescent="0.25">
      <c r="A14" s="4" t="s">
        <v>6</v>
      </c>
      <c r="B14" s="4" t="s">
        <v>12</v>
      </c>
      <c r="C14" s="17">
        <v>15990253</v>
      </c>
      <c r="D14" s="4"/>
      <c r="E14" s="18">
        <v>69.5</v>
      </c>
      <c r="F14" s="19">
        <v>0.05</v>
      </c>
      <c r="G14" s="4"/>
      <c r="H14" s="20">
        <f t="shared" si="1"/>
        <v>22226000</v>
      </c>
      <c r="I14" s="4"/>
      <c r="J14" s="4"/>
      <c r="K14" s="4"/>
      <c r="L14" s="4"/>
    </row>
    <row r="15" spans="1:12" x14ac:dyDescent="0.25">
      <c r="A15" s="4" t="s">
        <v>6</v>
      </c>
      <c r="B15" s="4" t="s">
        <v>13</v>
      </c>
      <c r="C15" s="17">
        <v>15990253</v>
      </c>
      <c r="D15" s="4"/>
      <c r="E15" s="18">
        <v>51.1</v>
      </c>
      <c r="F15" s="19">
        <v>0.05</v>
      </c>
      <c r="G15" s="4"/>
      <c r="H15" s="20">
        <f t="shared" si="1"/>
        <v>16342000</v>
      </c>
      <c r="I15" s="4"/>
      <c r="J15" s="4"/>
      <c r="K15" s="4"/>
      <c r="L15" s="4"/>
    </row>
    <row r="16" spans="1:12" x14ac:dyDescent="0.25">
      <c r="A16" s="4" t="s">
        <v>6</v>
      </c>
      <c r="B16" s="4" t="s">
        <v>14</v>
      </c>
      <c r="C16" s="17">
        <v>16310058</v>
      </c>
      <c r="D16" s="4"/>
      <c r="E16" s="18">
        <v>71.5</v>
      </c>
      <c r="F16" s="19">
        <v>0.05</v>
      </c>
      <c r="G16" s="4"/>
      <c r="H16" s="20">
        <f t="shared" si="1"/>
        <v>23323000</v>
      </c>
      <c r="I16" s="4"/>
      <c r="J16" s="4"/>
      <c r="K16" s="4"/>
      <c r="L16" s="4"/>
    </row>
    <row r="17" spans="1:12" x14ac:dyDescent="0.25">
      <c r="A17" s="4" t="s">
        <v>6</v>
      </c>
      <c r="B17" s="4" t="s">
        <v>15</v>
      </c>
      <c r="C17" s="17">
        <v>15990253</v>
      </c>
      <c r="D17" s="4"/>
      <c r="E17" s="18">
        <v>70</v>
      </c>
      <c r="F17" s="19">
        <v>0.05</v>
      </c>
      <c r="G17" s="4"/>
      <c r="H17" s="20">
        <f t="shared" si="1"/>
        <v>22386000</v>
      </c>
      <c r="I17" s="4"/>
      <c r="J17" s="4"/>
      <c r="K17" s="4"/>
      <c r="L17" s="4"/>
    </row>
    <row r="18" spans="1:12" x14ac:dyDescent="0.25">
      <c r="A18" s="4" t="s">
        <v>6</v>
      </c>
      <c r="B18" s="4" t="s">
        <v>16</v>
      </c>
      <c r="C18" s="17">
        <v>15990253</v>
      </c>
      <c r="D18" s="4"/>
      <c r="E18" s="18">
        <v>70</v>
      </c>
      <c r="F18" s="19">
        <v>0.05</v>
      </c>
      <c r="G18" s="4"/>
      <c r="H18" s="20">
        <f t="shared" si="1"/>
        <v>22386000</v>
      </c>
      <c r="I18" s="4"/>
      <c r="J18" s="4"/>
      <c r="K18" s="4"/>
      <c r="L18" s="4"/>
    </row>
    <row r="19" spans="1:12" x14ac:dyDescent="0.25">
      <c r="A19" s="4" t="s">
        <v>6</v>
      </c>
      <c r="B19" s="4" t="s">
        <v>17</v>
      </c>
      <c r="C19" s="17">
        <v>15670448</v>
      </c>
      <c r="D19" s="4"/>
      <c r="E19" s="18">
        <v>70</v>
      </c>
      <c r="F19" s="19">
        <v>0.05</v>
      </c>
      <c r="G19" s="4"/>
      <c r="H19" s="20">
        <f t="shared" si="1"/>
        <v>21939000</v>
      </c>
      <c r="I19" s="4"/>
      <c r="J19" s="4"/>
      <c r="K19" s="4"/>
      <c r="L19" s="4"/>
    </row>
    <row r="20" spans="1:12" x14ac:dyDescent="0.25">
      <c r="A20" s="4" t="s">
        <v>6</v>
      </c>
      <c r="B20" s="4" t="s">
        <v>18</v>
      </c>
      <c r="C20" s="17">
        <v>15990253</v>
      </c>
      <c r="D20" s="4"/>
      <c r="E20" s="18">
        <v>70</v>
      </c>
      <c r="F20" s="19">
        <v>0.05</v>
      </c>
      <c r="G20" s="4"/>
      <c r="H20" s="20">
        <f t="shared" si="1"/>
        <v>22386000</v>
      </c>
      <c r="I20" s="4"/>
      <c r="J20" s="4"/>
      <c r="K20" s="4"/>
      <c r="L20" s="4"/>
    </row>
    <row r="21" spans="1:12" x14ac:dyDescent="0.25">
      <c r="A21" s="4" t="s">
        <v>6</v>
      </c>
      <c r="B21" s="4" t="s">
        <v>19</v>
      </c>
      <c r="C21" s="17">
        <v>15990253</v>
      </c>
      <c r="D21" s="4"/>
      <c r="E21" s="18">
        <v>70</v>
      </c>
      <c r="F21" s="19">
        <v>0.05</v>
      </c>
      <c r="G21" s="4"/>
      <c r="H21" s="20">
        <f t="shared" si="1"/>
        <v>22386000</v>
      </c>
      <c r="I21" s="4"/>
      <c r="J21" s="4"/>
      <c r="K21" s="4"/>
      <c r="L21" s="4"/>
    </row>
    <row r="22" spans="1:12" x14ac:dyDescent="0.25">
      <c r="A22" s="4" t="s">
        <v>6</v>
      </c>
      <c r="B22" s="4" t="s">
        <v>20</v>
      </c>
      <c r="C22" s="17">
        <v>16310058</v>
      </c>
      <c r="D22" s="4"/>
      <c r="E22" s="18">
        <v>70</v>
      </c>
      <c r="F22" s="19">
        <v>0.05</v>
      </c>
      <c r="G22" s="4"/>
      <c r="H22" s="20">
        <f t="shared" si="1"/>
        <v>22834000</v>
      </c>
      <c r="I22" s="4"/>
      <c r="J22" s="4"/>
      <c r="K22" s="4"/>
      <c r="L22" s="4"/>
    </row>
    <row r="23" spans="1:12" x14ac:dyDescent="0.25">
      <c r="A23" s="4" t="s">
        <v>6</v>
      </c>
      <c r="B23" s="4" t="s">
        <v>21</v>
      </c>
      <c r="C23" s="17">
        <v>16310058</v>
      </c>
      <c r="D23" s="4"/>
      <c r="E23" s="18">
        <v>71</v>
      </c>
      <c r="F23" s="19">
        <v>0.05</v>
      </c>
      <c r="G23" s="4"/>
      <c r="H23" s="20">
        <f t="shared" si="1"/>
        <v>23160000</v>
      </c>
      <c r="I23" s="4"/>
      <c r="J23" s="4"/>
      <c r="K23" s="4"/>
      <c r="L23" s="4"/>
    </row>
    <row r="24" spans="1:12" x14ac:dyDescent="0.25">
      <c r="A24" s="4" t="s">
        <v>6</v>
      </c>
      <c r="B24" s="4" t="s">
        <v>22</v>
      </c>
      <c r="C24" s="17">
        <v>15990253</v>
      </c>
      <c r="D24" s="4"/>
      <c r="E24" s="18">
        <v>69.5</v>
      </c>
      <c r="F24" s="19">
        <v>0.05</v>
      </c>
      <c r="G24" s="4"/>
      <c r="H24" s="20">
        <f t="shared" si="1"/>
        <v>22226000</v>
      </c>
      <c r="I24" s="4"/>
      <c r="J24" s="4"/>
      <c r="K24" s="4"/>
      <c r="L24" s="4"/>
    </row>
    <row r="25" spans="1:12" x14ac:dyDescent="0.25">
      <c r="A25" s="4" t="s">
        <v>6</v>
      </c>
      <c r="B25" s="4" t="s">
        <v>23</v>
      </c>
      <c r="C25" s="17">
        <v>15670448</v>
      </c>
      <c r="D25" s="4"/>
      <c r="E25" s="18">
        <v>51.1</v>
      </c>
      <c r="F25" s="19">
        <v>0.05</v>
      </c>
      <c r="G25" s="4"/>
      <c r="H25" s="20">
        <f t="shared" si="1"/>
        <v>16015000</v>
      </c>
      <c r="I25" s="4"/>
      <c r="J25" s="4"/>
      <c r="K25" s="4"/>
      <c r="L25" s="4"/>
    </row>
    <row r="26" spans="1:12" x14ac:dyDescent="0.25">
      <c r="A26" s="4" t="s">
        <v>6</v>
      </c>
      <c r="B26" s="4" t="s">
        <v>24</v>
      </c>
      <c r="C26" s="17">
        <v>15670448</v>
      </c>
      <c r="D26" s="4"/>
      <c r="E26" s="18">
        <v>69.5</v>
      </c>
      <c r="F26" s="19">
        <v>0.05</v>
      </c>
      <c r="G26" s="4"/>
      <c r="H26" s="20">
        <f t="shared" si="1"/>
        <v>21782000</v>
      </c>
      <c r="I26" s="4"/>
      <c r="J26" s="4"/>
      <c r="K26" s="4"/>
      <c r="L26" s="4"/>
    </row>
    <row r="27" spans="1:12" x14ac:dyDescent="0.25">
      <c r="A27" s="4" t="s">
        <v>6</v>
      </c>
      <c r="B27" s="4" t="s">
        <v>25</v>
      </c>
      <c r="C27" s="17">
        <v>15990253</v>
      </c>
      <c r="D27" s="4"/>
      <c r="E27" s="18">
        <v>69.5</v>
      </c>
      <c r="F27" s="19">
        <v>0.05</v>
      </c>
      <c r="G27" s="4"/>
      <c r="H27" s="20">
        <f t="shared" si="1"/>
        <v>22226000</v>
      </c>
      <c r="I27" s="4"/>
      <c r="J27" s="4"/>
      <c r="K27" s="4"/>
      <c r="L27" s="4"/>
    </row>
    <row r="28" spans="1:12" x14ac:dyDescent="0.25">
      <c r="A28" s="4" t="s">
        <v>6</v>
      </c>
      <c r="B28" s="4" t="s">
        <v>26</v>
      </c>
      <c r="C28" s="17">
        <v>15990253</v>
      </c>
      <c r="D28" s="4"/>
      <c r="E28" s="18">
        <v>51.1</v>
      </c>
      <c r="F28" s="19">
        <v>0.05</v>
      </c>
      <c r="G28" s="4"/>
      <c r="H28" s="20">
        <f t="shared" si="1"/>
        <v>16342000</v>
      </c>
      <c r="I28" s="4"/>
      <c r="J28" s="4"/>
      <c r="K28" s="4"/>
      <c r="L28" s="4"/>
    </row>
    <row r="29" spans="1:12" x14ac:dyDescent="0.25">
      <c r="A29" s="4" t="s">
        <v>6</v>
      </c>
      <c r="B29" s="4" t="s">
        <v>27</v>
      </c>
      <c r="C29" s="17">
        <v>16310058</v>
      </c>
      <c r="D29" s="4"/>
      <c r="E29" s="18">
        <v>71.5</v>
      </c>
      <c r="F29" s="19">
        <v>0.05</v>
      </c>
      <c r="G29" s="4"/>
      <c r="H29" s="20">
        <f t="shared" si="1"/>
        <v>23323000</v>
      </c>
      <c r="I29" s="4"/>
      <c r="J29" s="4"/>
      <c r="K29" s="4"/>
      <c r="L29" s="4"/>
    </row>
    <row r="30" spans="1:12" x14ac:dyDescent="0.25">
      <c r="A30" s="4" t="s">
        <v>6</v>
      </c>
      <c r="B30" s="4" t="s">
        <v>28</v>
      </c>
      <c r="C30" s="17">
        <v>15990253</v>
      </c>
      <c r="D30" s="4"/>
      <c r="E30" s="18">
        <v>70</v>
      </c>
      <c r="F30" s="19">
        <v>0.05</v>
      </c>
      <c r="G30" s="4"/>
      <c r="H30" s="20">
        <f t="shared" si="1"/>
        <v>22386000</v>
      </c>
      <c r="I30" s="4"/>
      <c r="J30" s="4"/>
      <c r="K30" s="4"/>
      <c r="L30" s="4"/>
    </row>
    <row r="31" spans="1:12" x14ac:dyDescent="0.25">
      <c r="A31" s="4" t="s">
        <v>6</v>
      </c>
      <c r="B31" s="4" t="s">
        <v>29</v>
      </c>
      <c r="C31" s="17">
        <v>15990253</v>
      </c>
      <c r="D31" s="4"/>
      <c r="E31" s="18">
        <v>70</v>
      </c>
      <c r="F31" s="19">
        <v>0.05</v>
      </c>
      <c r="G31" s="4"/>
      <c r="H31" s="20">
        <f t="shared" si="1"/>
        <v>22386000</v>
      </c>
      <c r="I31" s="4"/>
      <c r="J31" s="4"/>
      <c r="K31" s="4"/>
      <c r="L31" s="4"/>
    </row>
    <row r="32" spans="1:12" x14ac:dyDescent="0.25">
      <c r="A32" s="4" t="s">
        <v>6</v>
      </c>
      <c r="B32" s="4" t="s">
        <v>30</v>
      </c>
      <c r="C32" s="17">
        <v>15670448</v>
      </c>
      <c r="D32" s="4"/>
      <c r="E32" s="18">
        <v>70</v>
      </c>
      <c r="F32" s="19">
        <v>0.05</v>
      </c>
      <c r="G32" s="4"/>
      <c r="H32" s="20">
        <f t="shared" si="1"/>
        <v>21939000</v>
      </c>
      <c r="I32" s="4"/>
      <c r="J32" s="4"/>
      <c r="K32" s="4"/>
      <c r="L32" s="4"/>
    </row>
    <row r="33" spans="1:12" x14ac:dyDescent="0.25">
      <c r="A33" s="4" t="s">
        <v>6</v>
      </c>
      <c r="B33" s="4" t="s">
        <v>31</v>
      </c>
      <c r="C33" s="17">
        <v>15990253</v>
      </c>
      <c r="D33" s="4"/>
      <c r="E33" s="18">
        <v>70</v>
      </c>
      <c r="F33" s="19">
        <v>0.05</v>
      </c>
      <c r="G33" s="4"/>
      <c r="H33" s="20">
        <f t="shared" si="1"/>
        <v>22386000</v>
      </c>
      <c r="I33" s="4"/>
      <c r="J33" s="4"/>
      <c r="K33" s="4"/>
      <c r="L33" s="4"/>
    </row>
    <row r="34" spans="1:12" x14ac:dyDescent="0.25">
      <c r="A34" s="4" t="s">
        <v>6</v>
      </c>
      <c r="B34" s="4" t="s">
        <v>32</v>
      </c>
      <c r="C34" s="17">
        <v>15990253</v>
      </c>
      <c r="D34" s="4"/>
      <c r="E34" s="18">
        <v>70</v>
      </c>
      <c r="F34" s="19">
        <v>0.05</v>
      </c>
      <c r="G34" s="4"/>
      <c r="H34" s="20">
        <f t="shared" si="1"/>
        <v>22386000</v>
      </c>
      <c r="I34" s="4"/>
      <c r="J34" s="4"/>
      <c r="K34" s="4"/>
      <c r="L34" s="4"/>
    </row>
    <row r="35" spans="1:12" x14ac:dyDescent="0.25">
      <c r="A35" s="4" t="s">
        <v>6</v>
      </c>
      <c r="B35" s="4" t="s">
        <v>33</v>
      </c>
      <c r="C35" s="17">
        <v>16310058</v>
      </c>
      <c r="D35" s="4"/>
      <c r="E35" s="18">
        <v>70</v>
      </c>
      <c r="F35" s="19">
        <v>0.05</v>
      </c>
      <c r="G35" s="4"/>
      <c r="H35" s="20">
        <f t="shared" si="1"/>
        <v>22834000</v>
      </c>
      <c r="I35" s="4"/>
      <c r="J35" s="4"/>
      <c r="K35" s="4"/>
      <c r="L35" s="4"/>
    </row>
    <row r="36" spans="1:12" x14ac:dyDescent="0.25">
      <c r="A36" s="4" t="s">
        <v>6</v>
      </c>
      <c r="B36" s="4" t="s">
        <v>34</v>
      </c>
      <c r="C36" s="17">
        <v>16310058</v>
      </c>
      <c r="D36" s="4"/>
      <c r="E36" s="18">
        <v>71</v>
      </c>
      <c r="F36" s="19">
        <v>0.05</v>
      </c>
      <c r="G36" s="4"/>
      <c r="H36" s="20">
        <f t="shared" si="1"/>
        <v>23160000</v>
      </c>
      <c r="I36" s="4"/>
      <c r="J36" s="4"/>
      <c r="K36" s="4"/>
      <c r="L36" s="4"/>
    </row>
    <row r="37" spans="1:12" x14ac:dyDescent="0.25">
      <c r="A37" s="4" t="s">
        <v>6</v>
      </c>
      <c r="B37" s="4" t="s">
        <v>35</v>
      </c>
      <c r="C37" s="17">
        <v>15990253</v>
      </c>
      <c r="D37" s="4"/>
      <c r="E37" s="18">
        <v>69.5</v>
      </c>
      <c r="F37" s="19">
        <v>0.05</v>
      </c>
      <c r="G37" s="4"/>
      <c r="H37" s="20">
        <f t="shared" si="1"/>
        <v>22226000</v>
      </c>
      <c r="I37" s="4"/>
      <c r="J37" s="4"/>
      <c r="K37" s="4"/>
      <c r="L37" s="4"/>
    </row>
    <row r="38" spans="1:12" x14ac:dyDescent="0.25">
      <c r="A38" s="4" t="s">
        <v>6</v>
      </c>
      <c r="B38" s="4" t="s">
        <v>36</v>
      </c>
      <c r="C38" s="17">
        <v>15670448</v>
      </c>
      <c r="D38" s="4"/>
      <c r="E38" s="18">
        <v>51.1</v>
      </c>
      <c r="F38" s="19">
        <v>0.05</v>
      </c>
      <c r="G38" s="4"/>
      <c r="H38" s="20">
        <f t="shared" si="1"/>
        <v>16015000</v>
      </c>
      <c r="I38" s="4"/>
      <c r="J38" s="4"/>
      <c r="K38" s="4"/>
      <c r="L38" s="4"/>
    </row>
    <row r="39" spans="1:12" x14ac:dyDescent="0.25">
      <c r="A39" s="4" t="s">
        <v>6</v>
      </c>
      <c r="B39" s="4" t="s">
        <v>37</v>
      </c>
      <c r="C39" s="17">
        <v>15670448</v>
      </c>
      <c r="D39" s="4"/>
      <c r="E39" s="18">
        <v>69.5</v>
      </c>
      <c r="F39" s="19">
        <v>0.05</v>
      </c>
      <c r="G39" s="4"/>
      <c r="H39" s="20">
        <f t="shared" si="1"/>
        <v>21782000</v>
      </c>
      <c r="I39" s="4"/>
      <c r="J39" s="4"/>
      <c r="K39" s="4"/>
      <c r="L39" s="4"/>
    </row>
    <row r="40" spans="1:12" x14ac:dyDescent="0.25">
      <c r="A40" s="4" t="s">
        <v>6</v>
      </c>
      <c r="B40" s="4" t="s">
        <v>38</v>
      </c>
      <c r="C40" s="17">
        <v>15990253</v>
      </c>
      <c r="D40" s="4"/>
      <c r="E40" s="18">
        <v>69.5</v>
      </c>
      <c r="F40" s="19">
        <v>0.05</v>
      </c>
      <c r="G40" s="4"/>
      <c r="H40" s="20">
        <f t="shared" si="1"/>
        <v>22226000</v>
      </c>
      <c r="I40" s="4"/>
      <c r="J40" s="4"/>
      <c r="K40" s="4"/>
      <c r="L40" s="4"/>
    </row>
    <row r="41" spans="1:12" x14ac:dyDescent="0.25">
      <c r="A41" s="4" t="s">
        <v>6</v>
      </c>
      <c r="B41" s="4" t="s">
        <v>39</v>
      </c>
      <c r="C41" s="17">
        <v>15990253</v>
      </c>
      <c r="D41" s="4"/>
      <c r="E41" s="18">
        <v>51.1</v>
      </c>
      <c r="F41" s="19">
        <v>0.05</v>
      </c>
      <c r="G41" s="4"/>
      <c r="H41" s="20">
        <f t="shared" si="1"/>
        <v>16342000</v>
      </c>
      <c r="I41" s="4"/>
      <c r="J41" s="4"/>
      <c r="K41" s="4"/>
      <c r="L41" s="4"/>
    </row>
    <row r="42" spans="1:12" x14ac:dyDescent="0.25">
      <c r="A42" s="4" t="s">
        <v>6</v>
      </c>
      <c r="B42" s="4" t="s">
        <v>40</v>
      </c>
      <c r="C42" s="17">
        <v>16310058</v>
      </c>
      <c r="D42" s="4"/>
      <c r="E42" s="18">
        <v>71.5</v>
      </c>
      <c r="F42" s="19">
        <v>0.05</v>
      </c>
      <c r="G42" s="4"/>
      <c r="H42" s="20">
        <f t="shared" si="1"/>
        <v>23323000</v>
      </c>
      <c r="I42" s="4"/>
      <c r="J42" s="4"/>
      <c r="K42" s="4"/>
      <c r="L42" s="4"/>
    </row>
    <row r="43" spans="1:12" x14ac:dyDescent="0.25">
      <c r="A43" s="4" t="s">
        <v>6</v>
      </c>
      <c r="B43" s="4" t="s">
        <v>41</v>
      </c>
      <c r="C43" s="17">
        <v>15990253</v>
      </c>
      <c r="D43" s="4"/>
      <c r="E43" s="18">
        <v>70</v>
      </c>
      <c r="F43" s="19">
        <v>0.05</v>
      </c>
      <c r="G43" s="4"/>
      <c r="H43" s="20">
        <f t="shared" si="1"/>
        <v>22386000</v>
      </c>
      <c r="I43" s="4"/>
      <c r="J43" s="4"/>
      <c r="K43" s="4"/>
      <c r="L43" s="4"/>
    </row>
    <row r="44" spans="1:12" x14ac:dyDescent="0.25">
      <c r="A44" s="4" t="s">
        <v>6</v>
      </c>
      <c r="B44" s="4" t="s">
        <v>42</v>
      </c>
      <c r="C44" s="17">
        <v>15990253</v>
      </c>
      <c r="D44" s="4"/>
      <c r="E44" s="18">
        <v>70</v>
      </c>
      <c r="F44" s="19">
        <v>0.05</v>
      </c>
      <c r="G44" s="4"/>
      <c r="H44" s="20">
        <f t="shared" si="1"/>
        <v>22386000</v>
      </c>
      <c r="I44" s="4"/>
      <c r="J44" s="4"/>
      <c r="K44" s="4"/>
      <c r="L44" s="4"/>
    </row>
    <row r="45" spans="1:12" x14ac:dyDescent="0.25">
      <c r="A45" s="4" t="s">
        <v>6</v>
      </c>
      <c r="B45" s="4" t="s">
        <v>43</v>
      </c>
      <c r="C45" s="17">
        <v>15670448</v>
      </c>
      <c r="D45" s="4"/>
      <c r="E45" s="18">
        <v>70</v>
      </c>
      <c r="F45" s="19">
        <v>0.05</v>
      </c>
      <c r="G45" s="4"/>
      <c r="H45" s="20">
        <f t="shared" si="1"/>
        <v>21939000</v>
      </c>
      <c r="I45" s="4"/>
      <c r="J45" s="4"/>
      <c r="K45" s="4"/>
      <c r="L45" s="4"/>
    </row>
    <row r="46" spans="1:12" x14ac:dyDescent="0.25">
      <c r="A46" s="4" t="s">
        <v>6</v>
      </c>
      <c r="B46" s="4" t="s">
        <v>44</v>
      </c>
      <c r="C46" s="17">
        <v>15990253</v>
      </c>
      <c r="D46" s="4"/>
      <c r="E46" s="18">
        <v>70</v>
      </c>
      <c r="F46" s="19">
        <v>0.05</v>
      </c>
      <c r="G46" s="4"/>
      <c r="H46" s="20">
        <f t="shared" si="1"/>
        <v>22386000</v>
      </c>
      <c r="I46" s="4"/>
      <c r="J46" s="4"/>
      <c r="K46" s="4"/>
      <c r="L46" s="4"/>
    </row>
    <row r="47" spans="1:12" x14ac:dyDescent="0.25">
      <c r="A47" s="4" t="s">
        <v>6</v>
      </c>
      <c r="B47" s="4" t="s">
        <v>45</v>
      </c>
      <c r="C47" s="17">
        <v>15990253</v>
      </c>
      <c r="D47" s="4"/>
      <c r="E47" s="18">
        <v>70</v>
      </c>
      <c r="F47" s="19">
        <v>0.05</v>
      </c>
      <c r="G47" s="4"/>
      <c r="H47" s="20">
        <f t="shared" si="1"/>
        <v>22386000</v>
      </c>
      <c r="I47" s="4"/>
      <c r="J47" s="4"/>
      <c r="K47" s="4"/>
      <c r="L47" s="4"/>
    </row>
    <row r="48" spans="1:12" x14ac:dyDescent="0.25">
      <c r="A48" s="4" t="s">
        <v>6</v>
      </c>
      <c r="B48" s="4" t="s">
        <v>46</v>
      </c>
      <c r="C48" s="17">
        <v>16310058</v>
      </c>
      <c r="D48" s="4"/>
      <c r="E48" s="18">
        <v>70</v>
      </c>
      <c r="F48" s="19">
        <v>0.05</v>
      </c>
      <c r="G48" s="4"/>
      <c r="H48" s="20">
        <f t="shared" si="1"/>
        <v>22834000</v>
      </c>
      <c r="I48" s="4"/>
      <c r="J48" s="4"/>
      <c r="K48" s="4"/>
      <c r="L48" s="4"/>
    </row>
    <row r="49" spans="1:12" x14ac:dyDescent="0.25">
      <c r="A49" s="4" t="s">
        <v>6</v>
      </c>
      <c r="B49" s="4" t="s">
        <v>47</v>
      </c>
      <c r="C49" s="17">
        <v>16310058</v>
      </c>
      <c r="D49" s="4"/>
      <c r="E49" s="18">
        <v>71</v>
      </c>
      <c r="F49" s="19">
        <v>0.05</v>
      </c>
      <c r="G49" s="4"/>
      <c r="H49" s="20">
        <f t="shared" si="1"/>
        <v>23160000</v>
      </c>
      <c r="I49" s="4"/>
      <c r="J49" s="4"/>
      <c r="K49" s="4"/>
      <c r="L49" s="4"/>
    </row>
    <row r="50" spans="1:12" x14ac:dyDescent="0.25">
      <c r="A50" s="4" t="s">
        <v>6</v>
      </c>
      <c r="B50" s="4" t="s">
        <v>48</v>
      </c>
      <c r="C50" s="17">
        <v>15990253</v>
      </c>
      <c r="D50" s="4"/>
      <c r="E50" s="18">
        <v>69.5</v>
      </c>
      <c r="F50" s="19">
        <v>0.05</v>
      </c>
      <c r="G50" s="4"/>
      <c r="H50" s="20">
        <f t="shared" si="1"/>
        <v>22226000</v>
      </c>
      <c r="I50" s="4"/>
      <c r="J50" s="4"/>
      <c r="K50" s="4"/>
      <c r="L50" s="4"/>
    </row>
    <row r="51" spans="1:12" x14ac:dyDescent="0.25">
      <c r="A51" s="4" t="s">
        <v>6</v>
      </c>
      <c r="B51" s="4" t="s">
        <v>49</v>
      </c>
      <c r="C51" s="17">
        <v>15670448</v>
      </c>
      <c r="D51" s="4"/>
      <c r="E51" s="18">
        <v>51.1</v>
      </c>
      <c r="F51" s="19">
        <v>0.05</v>
      </c>
      <c r="G51" s="4"/>
      <c r="H51" s="20">
        <f t="shared" si="1"/>
        <v>16015000</v>
      </c>
      <c r="I51" s="4"/>
      <c r="J51" s="4"/>
      <c r="K51" s="4"/>
      <c r="L51" s="4"/>
    </row>
    <row r="52" spans="1:12" x14ac:dyDescent="0.25">
      <c r="A52" s="4" t="s">
        <v>6</v>
      </c>
      <c r="B52" s="4" t="s">
        <v>50</v>
      </c>
      <c r="C52" s="17">
        <v>15670448</v>
      </c>
      <c r="D52" s="4"/>
      <c r="E52" s="18">
        <v>69.5</v>
      </c>
      <c r="F52" s="19">
        <v>0.05</v>
      </c>
      <c r="G52" s="4"/>
      <c r="H52" s="20">
        <f t="shared" si="1"/>
        <v>21782000</v>
      </c>
      <c r="I52" s="4"/>
      <c r="J52" s="4"/>
      <c r="K52" s="4"/>
      <c r="L52" s="4"/>
    </row>
    <row r="53" spans="1:12" x14ac:dyDescent="0.25">
      <c r="A53" s="4" t="s">
        <v>6</v>
      </c>
      <c r="B53" s="4" t="s">
        <v>51</v>
      </c>
      <c r="C53" s="17">
        <v>15990253</v>
      </c>
      <c r="D53" s="4"/>
      <c r="E53" s="18">
        <v>69.5</v>
      </c>
      <c r="F53" s="19">
        <v>0.05</v>
      </c>
      <c r="G53" s="4"/>
      <c r="H53" s="20">
        <f t="shared" si="1"/>
        <v>22226000</v>
      </c>
      <c r="I53" s="4"/>
      <c r="J53" s="4"/>
      <c r="K53" s="4"/>
      <c r="L53" s="4"/>
    </row>
    <row r="54" spans="1:12" x14ac:dyDescent="0.25">
      <c r="A54" s="4" t="s">
        <v>6</v>
      </c>
      <c r="B54" s="4" t="s">
        <v>52</v>
      </c>
      <c r="C54" s="17">
        <v>15990253</v>
      </c>
      <c r="D54" s="4"/>
      <c r="E54" s="18">
        <v>51.1</v>
      </c>
      <c r="F54" s="19">
        <v>0.05</v>
      </c>
      <c r="G54" s="4"/>
      <c r="H54" s="20">
        <f t="shared" si="1"/>
        <v>16342000</v>
      </c>
      <c r="I54" s="4"/>
      <c r="J54" s="4"/>
      <c r="K54" s="4"/>
      <c r="L54" s="4"/>
    </row>
    <row r="55" spans="1:12" x14ac:dyDescent="0.25">
      <c r="A55" s="4" t="s">
        <v>6</v>
      </c>
      <c r="B55" s="4" t="s">
        <v>53</v>
      </c>
      <c r="C55" s="17">
        <v>16310058</v>
      </c>
      <c r="D55" s="4"/>
      <c r="E55" s="18">
        <v>71.5</v>
      </c>
      <c r="F55" s="19">
        <v>0.05</v>
      </c>
      <c r="G55" s="4"/>
      <c r="H55" s="20">
        <f t="shared" si="1"/>
        <v>23323000</v>
      </c>
      <c r="I55" s="4"/>
      <c r="J55" s="4"/>
      <c r="K55" s="4"/>
      <c r="L55" s="4"/>
    </row>
    <row r="56" spans="1:12" x14ac:dyDescent="0.25">
      <c r="A56" s="4" t="s">
        <v>6</v>
      </c>
      <c r="B56" s="4" t="s">
        <v>54</v>
      </c>
      <c r="C56" s="17">
        <v>15990253</v>
      </c>
      <c r="D56" s="4"/>
      <c r="E56" s="18">
        <v>70</v>
      </c>
      <c r="F56" s="19">
        <v>0.05</v>
      </c>
      <c r="G56" s="4"/>
      <c r="H56" s="20">
        <f t="shared" si="1"/>
        <v>22386000</v>
      </c>
      <c r="I56" s="4"/>
      <c r="J56" s="4"/>
      <c r="K56" s="4"/>
      <c r="L56" s="4"/>
    </row>
    <row r="57" spans="1:12" x14ac:dyDescent="0.25">
      <c r="A57" s="4" t="s">
        <v>6</v>
      </c>
      <c r="B57" s="4" t="s">
        <v>55</v>
      </c>
      <c r="C57" s="17">
        <v>15990253</v>
      </c>
      <c r="D57" s="4"/>
      <c r="E57" s="18">
        <v>70</v>
      </c>
      <c r="F57" s="19">
        <v>0.05</v>
      </c>
      <c r="G57" s="4"/>
      <c r="H57" s="20">
        <f t="shared" si="1"/>
        <v>22386000</v>
      </c>
      <c r="I57" s="4"/>
      <c r="J57" s="4"/>
      <c r="K57" s="4"/>
      <c r="L57" s="4"/>
    </row>
    <row r="58" spans="1:12" x14ac:dyDescent="0.25">
      <c r="A58" s="4" t="s">
        <v>6</v>
      </c>
      <c r="B58" s="4" t="s">
        <v>56</v>
      </c>
      <c r="C58" s="17">
        <v>15670448</v>
      </c>
      <c r="D58" s="4"/>
      <c r="E58" s="18">
        <v>70</v>
      </c>
      <c r="F58" s="19">
        <v>0.05</v>
      </c>
      <c r="G58" s="4"/>
      <c r="H58" s="20">
        <f t="shared" si="1"/>
        <v>21939000</v>
      </c>
      <c r="I58" s="4"/>
      <c r="J58" s="4"/>
      <c r="K58" s="4"/>
      <c r="L58" s="4"/>
    </row>
    <row r="59" spans="1:12" x14ac:dyDescent="0.25">
      <c r="A59" s="4" t="s">
        <v>6</v>
      </c>
      <c r="B59" s="4" t="s">
        <v>57</v>
      </c>
      <c r="C59" s="17">
        <v>15990253</v>
      </c>
      <c r="D59" s="4"/>
      <c r="E59" s="18">
        <v>70</v>
      </c>
      <c r="F59" s="19">
        <v>0.05</v>
      </c>
      <c r="G59" s="4"/>
      <c r="H59" s="20">
        <f t="shared" si="1"/>
        <v>22386000</v>
      </c>
      <c r="I59" s="4"/>
      <c r="J59" s="4"/>
      <c r="K59" s="4"/>
      <c r="L59" s="4"/>
    </row>
    <row r="60" spans="1:12" x14ac:dyDescent="0.25">
      <c r="A60" s="4" t="s">
        <v>6</v>
      </c>
      <c r="B60" s="4" t="s">
        <v>58</v>
      </c>
      <c r="C60" s="17">
        <v>15990253</v>
      </c>
      <c r="D60" s="4"/>
      <c r="E60" s="18">
        <v>70</v>
      </c>
      <c r="F60" s="19">
        <v>0.05</v>
      </c>
      <c r="G60" s="4"/>
      <c r="H60" s="20">
        <f t="shared" si="1"/>
        <v>22386000</v>
      </c>
      <c r="I60" s="4"/>
      <c r="J60" s="4"/>
      <c r="K60" s="4"/>
      <c r="L60" s="4"/>
    </row>
    <row r="61" spans="1:12" x14ac:dyDescent="0.25">
      <c r="A61" s="4" t="s">
        <v>6</v>
      </c>
      <c r="B61" s="4" t="s">
        <v>59</v>
      </c>
      <c r="C61" s="17">
        <v>16310058</v>
      </c>
      <c r="D61" s="4"/>
      <c r="E61" s="18">
        <v>70</v>
      </c>
      <c r="F61" s="19">
        <v>0.05</v>
      </c>
      <c r="G61" s="4"/>
      <c r="H61" s="20">
        <f t="shared" si="1"/>
        <v>22834000</v>
      </c>
      <c r="I61" s="4"/>
      <c r="J61" s="4"/>
      <c r="K61" s="4"/>
      <c r="L61" s="4"/>
    </row>
    <row r="62" spans="1:12" x14ac:dyDescent="0.25">
      <c r="A62" s="4" t="s">
        <v>6</v>
      </c>
      <c r="B62" s="4" t="s">
        <v>60</v>
      </c>
      <c r="C62" s="17">
        <v>16310058</v>
      </c>
      <c r="D62" s="4"/>
      <c r="E62" s="18">
        <v>71</v>
      </c>
      <c r="F62" s="19">
        <v>0.05</v>
      </c>
      <c r="G62" s="4"/>
      <c r="H62" s="20">
        <f t="shared" si="1"/>
        <v>23160000</v>
      </c>
      <c r="I62" s="4"/>
      <c r="J62" s="4"/>
      <c r="K62" s="4"/>
      <c r="L62" s="4"/>
    </row>
    <row r="63" spans="1:12" x14ac:dyDescent="0.25">
      <c r="A63" s="4" t="s">
        <v>6</v>
      </c>
      <c r="B63" s="4" t="s">
        <v>61</v>
      </c>
      <c r="C63" s="17">
        <v>15990253</v>
      </c>
      <c r="D63" s="4"/>
      <c r="E63" s="18">
        <v>69.5</v>
      </c>
      <c r="F63" s="19">
        <v>0.05</v>
      </c>
      <c r="G63" s="4"/>
      <c r="H63" s="20">
        <f t="shared" si="1"/>
        <v>22226000</v>
      </c>
      <c r="I63" s="4"/>
      <c r="J63" s="4"/>
      <c r="K63" s="4"/>
      <c r="L63" s="4"/>
    </row>
    <row r="64" spans="1:12" x14ac:dyDescent="0.25">
      <c r="A64" s="4" t="s">
        <v>6</v>
      </c>
      <c r="B64" s="4" t="s">
        <v>62</v>
      </c>
      <c r="C64" s="17">
        <v>15670448</v>
      </c>
      <c r="D64" s="4"/>
      <c r="E64" s="18">
        <v>51.1</v>
      </c>
      <c r="F64" s="19">
        <v>0.05</v>
      </c>
      <c r="G64" s="4"/>
      <c r="H64" s="20">
        <f t="shared" si="1"/>
        <v>16015000</v>
      </c>
      <c r="I64" s="4"/>
      <c r="J64" s="4"/>
      <c r="K64" s="4"/>
      <c r="L64" s="4"/>
    </row>
    <row r="65" spans="1:12" x14ac:dyDescent="0.25">
      <c r="A65" s="4" t="s">
        <v>6</v>
      </c>
      <c r="B65" s="4" t="s">
        <v>63</v>
      </c>
      <c r="C65" s="17">
        <v>15670448</v>
      </c>
      <c r="D65" s="4"/>
      <c r="E65" s="18">
        <v>69.5</v>
      </c>
      <c r="F65" s="19">
        <v>0.05</v>
      </c>
      <c r="G65" s="4"/>
      <c r="H65" s="20">
        <f t="shared" si="1"/>
        <v>21782000</v>
      </c>
      <c r="I65" s="4"/>
      <c r="J65" s="4"/>
      <c r="K65" s="4"/>
      <c r="L65" s="4"/>
    </row>
    <row r="66" spans="1:12" x14ac:dyDescent="0.25">
      <c r="A66" s="4" t="s">
        <v>6</v>
      </c>
      <c r="B66" s="4" t="s">
        <v>64</v>
      </c>
      <c r="C66" s="17">
        <v>15990253</v>
      </c>
      <c r="D66" s="4"/>
      <c r="E66" s="18">
        <v>69.5</v>
      </c>
      <c r="F66" s="19">
        <v>0.05</v>
      </c>
      <c r="G66" s="4"/>
      <c r="H66" s="20">
        <f t="shared" si="1"/>
        <v>22226000</v>
      </c>
      <c r="I66" s="4"/>
      <c r="J66" s="4"/>
      <c r="K66" s="4"/>
      <c r="L66" s="4"/>
    </row>
    <row r="67" spans="1:12" x14ac:dyDescent="0.25">
      <c r="A67" s="4" t="s">
        <v>6</v>
      </c>
      <c r="B67" s="4" t="s">
        <v>65</v>
      </c>
      <c r="C67" s="17">
        <v>15990253</v>
      </c>
      <c r="D67" s="4"/>
      <c r="E67" s="18">
        <v>51.1</v>
      </c>
      <c r="F67" s="19">
        <v>0.05</v>
      </c>
      <c r="G67" s="4"/>
      <c r="H67" s="20">
        <f t="shared" si="1"/>
        <v>16342000</v>
      </c>
      <c r="I67" s="4"/>
      <c r="J67" s="4"/>
      <c r="K67" s="4"/>
      <c r="L67" s="4"/>
    </row>
    <row r="68" spans="1:12" x14ac:dyDescent="0.25">
      <c r="A68" s="4" t="s">
        <v>6</v>
      </c>
      <c r="B68" s="4" t="s">
        <v>66</v>
      </c>
      <c r="C68" s="17">
        <v>16310058</v>
      </c>
      <c r="D68" s="4"/>
      <c r="E68" s="18">
        <v>71.5</v>
      </c>
      <c r="F68" s="19">
        <v>0.05</v>
      </c>
      <c r="G68" s="4"/>
      <c r="H68" s="20">
        <f t="shared" si="1"/>
        <v>23323000</v>
      </c>
      <c r="I68" s="4"/>
      <c r="J68" s="4"/>
      <c r="K68" s="4"/>
      <c r="L68" s="4"/>
    </row>
    <row r="69" spans="1:12" x14ac:dyDescent="0.25">
      <c r="A69" s="4" t="s">
        <v>6</v>
      </c>
      <c r="B69" s="4" t="s">
        <v>67</v>
      </c>
      <c r="C69" s="17">
        <v>15990253</v>
      </c>
      <c r="D69" s="4"/>
      <c r="E69" s="18">
        <v>70</v>
      </c>
      <c r="F69" s="19">
        <v>0.05</v>
      </c>
      <c r="G69" s="4"/>
      <c r="H69" s="20">
        <f t="shared" si="1"/>
        <v>22386000</v>
      </c>
      <c r="I69" s="4"/>
      <c r="J69" s="4"/>
      <c r="K69" s="4"/>
      <c r="L69" s="4"/>
    </row>
    <row r="70" spans="1:12" x14ac:dyDescent="0.25">
      <c r="A70" s="4" t="s">
        <v>6</v>
      </c>
      <c r="B70" s="4" t="s">
        <v>68</v>
      </c>
      <c r="C70" s="17">
        <v>15990253</v>
      </c>
      <c r="D70" s="4"/>
      <c r="E70" s="18">
        <v>70</v>
      </c>
      <c r="F70" s="19">
        <v>0.05</v>
      </c>
      <c r="G70" s="4"/>
      <c r="H70" s="20">
        <f t="shared" si="1"/>
        <v>22386000</v>
      </c>
      <c r="I70" s="4"/>
      <c r="J70" s="4"/>
      <c r="K70" s="4"/>
      <c r="L70" s="4"/>
    </row>
    <row r="71" spans="1:12" x14ac:dyDescent="0.25">
      <c r="A71" s="4" t="s">
        <v>6</v>
      </c>
      <c r="B71" s="4" t="s">
        <v>69</v>
      </c>
      <c r="C71" s="17">
        <v>15670448</v>
      </c>
      <c r="D71" s="4"/>
      <c r="E71" s="18">
        <v>70</v>
      </c>
      <c r="F71" s="19">
        <v>0.05</v>
      </c>
      <c r="G71" s="4"/>
      <c r="H71" s="20">
        <f t="shared" si="1"/>
        <v>21939000</v>
      </c>
      <c r="I71" s="4"/>
      <c r="J71" s="4"/>
      <c r="K71" s="4"/>
      <c r="L71" s="4"/>
    </row>
    <row r="72" spans="1:12" x14ac:dyDescent="0.25">
      <c r="A72" s="4" t="s">
        <v>6</v>
      </c>
      <c r="B72" s="4" t="s">
        <v>70</v>
      </c>
      <c r="C72" s="17">
        <v>15990253</v>
      </c>
      <c r="D72" s="4"/>
      <c r="E72" s="18">
        <v>70</v>
      </c>
      <c r="F72" s="19">
        <v>0.05</v>
      </c>
      <c r="G72" s="4"/>
      <c r="H72" s="20">
        <f t="shared" si="1"/>
        <v>22386000</v>
      </c>
      <c r="I72" s="4"/>
      <c r="J72" s="4"/>
      <c r="K72" s="4"/>
      <c r="L72" s="4"/>
    </row>
    <row r="73" spans="1:12" x14ac:dyDescent="0.25">
      <c r="A73" s="4" t="s">
        <v>6</v>
      </c>
      <c r="B73" s="4" t="s">
        <v>71</v>
      </c>
      <c r="C73" s="17">
        <v>15990253</v>
      </c>
      <c r="D73" s="4"/>
      <c r="E73" s="18">
        <v>70</v>
      </c>
      <c r="F73" s="19">
        <v>0.05</v>
      </c>
      <c r="G73" s="4"/>
      <c r="H73" s="20">
        <f t="shared" si="1"/>
        <v>22386000</v>
      </c>
      <c r="I73" s="4"/>
      <c r="J73" s="4"/>
      <c r="K73" s="4"/>
      <c r="L73" s="4"/>
    </row>
    <row r="74" spans="1:12" x14ac:dyDescent="0.25">
      <c r="A74" s="4" t="s">
        <v>6</v>
      </c>
      <c r="B74" s="4" t="s">
        <v>72</v>
      </c>
      <c r="C74" s="17">
        <v>16310058</v>
      </c>
      <c r="D74" s="4"/>
      <c r="E74" s="18">
        <v>70</v>
      </c>
      <c r="F74" s="19">
        <v>0.05</v>
      </c>
      <c r="G74" s="4"/>
      <c r="H74" s="20">
        <f t="shared" si="1"/>
        <v>22834000</v>
      </c>
      <c r="I74" s="4"/>
      <c r="J74" s="4"/>
      <c r="K74" s="4"/>
      <c r="L74" s="4"/>
    </row>
    <row r="75" spans="1:12" x14ac:dyDescent="0.25">
      <c r="A75" s="4" t="s">
        <v>6</v>
      </c>
      <c r="B75" s="4" t="s">
        <v>73</v>
      </c>
      <c r="C75" s="17">
        <v>16310058</v>
      </c>
      <c r="D75" s="4"/>
      <c r="E75" s="18">
        <v>71</v>
      </c>
      <c r="F75" s="19">
        <v>0.05</v>
      </c>
      <c r="G75" s="4"/>
      <c r="H75" s="20">
        <f t="shared" ref="H75:H113" si="2">ROUND(E75*C75*0.02,-3)</f>
        <v>23160000</v>
      </c>
      <c r="I75" s="4"/>
      <c r="J75" s="4"/>
      <c r="K75" s="4"/>
      <c r="L75" s="4"/>
    </row>
    <row r="76" spans="1:12" x14ac:dyDescent="0.25">
      <c r="A76" s="4" t="s">
        <v>6</v>
      </c>
      <c r="B76" s="4" t="s">
        <v>74</v>
      </c>
      <c r="C76" s="17">
        <v>15990253</v>
      </c>
      <c r="D76" s="4"/>
      <c r="E76" s="18">
        <v>69.5</v>
      </c>
      <c r="F76" s="19">
        <v>0.05</v>
      </c>
      <c r="G76" s="4"/>
      <c r="H76" s="20">
        <f t="shared" si="2"/>
        <v>22226000</v>
      </c>
      <c r="I76" s="4"/>
      <c r="J76" s="4"/>
      <c r="K76" s="4"/>
      <c r="L76" s="4"/>
    </row>
    <row r="77" spans="1:12" x14ac:dyDescent="0.25">
      <c r="A77" s="4" t="s">
        <v>6</v>
      </c>
      <c r="B77" s="4" t="s">
        <v>75</v>
      </c>
      <c r="C77" s="17">
        <v>15670448</v>
      </c>
      <c r="D77" s="4"/>
      <c r="E77" s="18">
        <v>51.1</v>
      </c>
      <c r="F77" s="19">
        <v>0.05</v>
      </c>
      <c r="G77" s="4"/>
      <c r="H77" s="20">
        <f t="shared" si="2"/>
        <v>16015000</v>
      </c>
      <c r="I77" s="4"/>
      <c r="J77" s="4"/>
      <c r="K77" s="4"/>
      <c r="L77" s="4"/>
    </row>
    <row r="78" spans="1:12" x14ac:dyDescent="0.25">
      <c r="A78" s="4" t="s">
        <v>6</v>
      </c>
      <c r="B78" s="4" t="s">
        <v>76</v>
      </c>
      <c r="C78" s="17">
        <v>15670448</v>
      </c>
      <c r="D78" s="4"/>
      <c r="E78" s="18">
        <v>69.5</v>
      </c>
      <c r="F78" s="19">
        <v>0.05</v>
      </c>
      <c r="G78" s="4"/>
      <c r="H78" s="20">
        <f t="shared" si="2"/>
        <v>21782000</v>
      </c>
      <c r="I78" s="4"/>
      <c r="J78" s="4"/>
      <c r="K78" s="4"/>
      <c r="L78" s="4"/>
    </row>
    <row r="79" spans="1:12" x14ac:dyDescent="0.25">
      <c r="A79" s="4" t="s">
        <v>6</v>
      </c>
      <c r="B79" s="4" t="s">
        <v>77</v>
      </c>
      <c r="C79" s="17">
        <v>15990253</v>
      </c>
      <c r="D79" s="4"/>
      <c r="E79" s="18">
        <v>69.5</v>
      </c>
      <c r="F79" s="19">
        <v>0.05</v>
      </c>
      <c r="G79" s="4"/>
      <c r="H79" s="20">
        <f t="shared" si="2"/>
        <v>22226000</v>
      </c>
      <c r="I79" s="4"/>
      <c r="J79" s="4"/>
      <c r="K79" s="4"/>
      <c r="L79" s="4"/>
    </row>
    <row r="80" spans="1:12" x14ac:dyDescent="0.25">
      <c r="A80" s="4" t="s">
        <v>6</v>
      </c>
      <c r="B80" s="4" t="s">
        <v>78</v>
      </c>
      <c r="C80" s="17">
        <v>15990253</v>
      </c>
      <c r="D80" s="4"/>
      <c r="E80" s="18">
        <v>51.1</v>
      </c>
      <c r="F80" s="19">
        <v>0.05</v>
      </c>
      <c r="G80" s="4"/>
      <c r="H80" s="20">
        <f t="shared" si="2"/>
        <v>16342000</v>
      </c>
      <c r="I80" s="4"/>
      <c r="J80" s="4"/>
      <c r="K80" s="4"/>
      <c r="L80" s="4"/>
    </row>
    <row r="81" spans="1:12" x14ac:dyDescent="0.25">
      <c r="A81" s="4" t="s">
        <v>6</v>
      </c>
      <c r="B81" s="4" t="s">
        <v>79</v>
      </c>
      <c r="C81" s="17">
        <v>16310058</v>
      </c>
      <c r="D81" s="4"/>
      <c r="E81" s="18">
        <v>71.5</v>
      </c>
      <c r="F81" s="19">
        <v>0.05</v>
      </c>
      <c r="G81" s="4"/>
      <c r="H81" s="20">
        <f t="shared" si="2"/>
        <v>23323000</v>
      </c>
      <c r="I81" s="4"/>
      <c r="J81" s="4"/>
      <c r="K81" s="4"/>
      <c r="L81" s="4"/>
    </row>
    <row r="82" spans="1:12" x14ac:dyDescent="0.25">
      <c r="A82" s="4" t="s">
        <v>6</v>
      </c>
      <c r="B82" s="4" t="s">
        <v>80</v>
      </c>
      <c r="C82" s="17">
        <v>15990253</v>
      </c>
      <c r="D82" s="4"/>
      <c r="E82" s="18">
        <v>70</v>
      </c>
      <c r="F82" s="19">
        <v>0.05</v>
      </c>
      <c r="G82" s="4"/>
      <c r="H82" s="20">
        <f t="shared" si="2"/>
        <v>22386000</v>
      </c>
      <c r="I82" s="4"/>
      <c r="J82" s="4"/>
      <c r="K82" s="4"/>
      <c r="L82" s="4"/>
    </row>
    <row r="83" spans="1:12" x14ac:dyDescent="0.25">
      <c r="A83" s="4" t="s">
        <v>6</v>
      </c>
      <c r="B83" s="4" t="s">
        <v>81</v>
      </c>
      <c r="C83" s="17">
        <v>15990253</v>
      </c>
      <c r="D83" s="4"/>
      <c r="E83" s="18">
        <v>70</v>
      </c>
      <c r="F83" s="19">
        <v>0.05</v>
      </c>
      <c r="G83" s="4"/>
      <c r="H83" s="20">
        <f t="shared" si="2"/>
        <v>22386000</v>
      </c>
      <c r="I83" s="4"/>
      <c r="J83" s="4"/>
      <c r="K83" s="4"/>
      <c r="L83" s="4"/>
    </row>
    <row r="84" spans="1:12" x14ac:dyDescent="0.25">
      <c r="A84" s="4" t="s">
        <v>6</v>
      </c>
      <c r="B84" s="4" t="s">
        <v>82</v>
      </c>
      <c r="C84" s="17">
        <v>15670448</v>
      </c>
      <c r="D84" s="4"/>
      <c r="E84" s="18">
        <v>70</v>
      </c>
      <c r="F84" s="19">
        <v>0.05</v>
      </c>
      <c r="G84" s="4"/>
      <c r="H84" s="20">
        <f t="shared" si="2"/>
        <v>21939000</v>
      </c>
      <c r="I84" s="4"/>
      <c r="J84" s="4"/>
      <c r="K84" s="4"/>
      <c r="L84" s="4"/>
    </row>
    <row r="85" spans="1:12" x14ac:dyDescent="0.25">
      <c r="A85" s="4" t="s">
        <v>6</v>
      </c>
      <c r="B85" s="4" t="s">
        <v>83</v>
      </c>
      <c r="C85" s="17">
        <v>15990253</v>
      </c>
      <c r="D85" s="4"/>
      <c r="E85" s="18">
        <v>70</v>
      </c>
      <c r="F85" s="19">
        <v>0.05</v>
      </c>
      <c r="G85" s="4"/>
      <c r="H85" s="20">
        <f t="shared" si="2"/>
        <v>22386000</v>
      </c>
      <c r="I85" s="4"/>
      <c r="J85" s="4"/>
      <c r="K85" s="4"/>
      <c r="L85" s="4"/>
    </row>
    <row r="86" spans="1:12" x14ac:dyDescent="0.25">
      <c r="A86" s="4" t="s">
        <v>6</v>
      </c>
      <c r="B86" s="4" t="s">
        <v>84</v>
      </c>
      <c r="C86" s="17">
        <v>15990253</v>
      </c>
      <c r="D86" s="4"/>
      <c r="E86" s="18">
        <v>70</v>
      </c>
      <c r="F86" s="19">
        <v>0.05</v>
      </c>
      <c r="G86" s="4"/>
      <c r="H86" s="20">
        <f t="shared" si="2"/>
        <v>22386000</v>
      </c>
      <c r="I86" s="4"/>
      <c r="J86" s="4"/>
      <c r="K86" s="4"/>
      <c r="L86" s="4"/>
    </row>
    <row r="87" spans="1:12" x14ac:dyDescent="0.25">
      <c r="A87" s="4" t="s">
        <v>6</v>
      </c>
      <c r="B87" s="4" t="s">
        <v>85</v>
      </c>
      <c r="C87" s="17">
        <v>16310058</v>
      </c>
      <c r="D87" s="4"/>
      <c r="E87" s="18">
        <v>70</v>
      </c>
      <c r="F87" s="19">
        <v>0.05</v>
      </c>
      <c r="G87" s="4"/>
      <c r="H87" s="20">
        <f t="shared" si="2"/>
        <v>22834000</v>
      </c>
      <c r="I87" s="4"/>
      <c r="J87" s="4"/>
      <c r="K87" s="4"/>
      <c r="L87" s="4"/>
    </row>
    <row r="88" spans="1:12" x14ac:dyDescent="0.25">
      <c r="A88" s="4" t="s">
        <v>6</v>
      </c>
      <c r="B88" s="4" t="s">
        <v>86</v>
      </c>
      <c r="C88" s="17">
        <v>16310058</v>
      </c>
      <c r="D88" s="4"/>
      <c r="E88" s="18">
        <v>71</v>
      </c>
      <c r="F88" s="19">
        <v>0.05</v>
      </c>
      <c r="G88" s="4"/>
      <c r="H88" s="20">
        <f t="shared" si="2"/>
        <v>23160000</v>
      </c>
      <c r="I88" s="4"/>
      <c r="J88" s="4"/>
      <c r="K88" s="4"/>
      <c r="L88" s="4"/>
    </row>
    <row r="89" spans="1:12" x14ac:dyDescent="0.25">
      <c r="A89" s="4" t="s">
        <v>6</v>
      </c>
      <c r="B89" s="4" t="s">
        <v>87</v>
      </c>
      <c r="C89" s="17">
        <v>15990253</v>
      </c>
      <c r="D89" s="4"/>
      <c r="E89" s="18">
        <v>69.5</v>
      </c>
      <c r="F89" s="19">
        <v>0.05</v>
      </c>
      <c r="G89" s="4"/>
      <c r="H89" s="20">
        <f t="shared" si="2"/>
        <v>22226000</v>
      </c>
      <c r="I89" s="4"/>
      <c r="J89" s="4"/>
      <c r="K89" s="4"/>
      <c r="L89" s="4"/>
    </row>
    <row r="90" spans="1:12" x14ac:dyDescent="0.25">
      <c r="A90" s="4" t="s">
        <v>6</v>
      </c>
      <c r="B90" s="4" t="s">
        <v>88</v>
      </c>
      <c r="C90" s="17">
        <v>15670448</v>
      </c>
      <c r="D90" s="4"/>
      <c r="E90" s="18">
        <v>51.1</v>
      </c>
      <c r="F90" s="19">
        <v>0.05</v>
      </c>
      <c r="G90" s="4"/>
      <c r="H90" s="20">
        <f t="shared" si="2"/>
        <v>16015000</v>
      </c>
      <c r="I90" s="4"/>
      <c r="J90" s="4"/>
      <c r="K90" s="4"/>
      <c r="L90" s="4"/>
    </row>
    <row r="91" spans="1:12" x14ac:dyDescent="0.25">
      <c r="A91" s="4" t="s">
        <v>6</v>
      </c>
      <c r="B91" s="4" t="s">
        <v>89</v>
      </c>
      <c r="C91" s="17">
        <v>15670448</v>
      </c>
      <c r="D91" s="4"/>
      <c r="E91" s="18">
        <v>69.5</v>
      </c>
      <c r="F91" s="19">
        <v>0.05</v>
      </c>
      <c r="G91" s="4"/>
      <c r="H91" s="20">
        <f t="shared" si="2"/>
        <v>21782000</v>
      </c>
      <c r="I91" s="4"/>
      <c r="J91" s="4"/>
      <c r="K91" s="4"/>
      <c r="L91" s="4"/>
    </row>
    <row r="92" spans="1:12" x14ac:dyDescent="0.25">
      <c r="A92" s="4" t="s">
        <v>6</v>
      </c>
      <c r="B92" s="4" t="s">
        <v>90</v>
      </c>
      <c r="C92" s="17">
        <v>15990253</v>
      </c>
      <c r="D92" s="4"/>
      <c r="E92" s="18">
        <v>69.5</v>
      </c>
      <c r="F92" s="19">
        <v>0.05</v>
      </c>
      <c r="G92" s="4"/>
      <c r="H92" s="20">
        <f t="shared" si="2"/>
        <v>22226000</v>
      </c>
      <c r="I92" s="4"/>
      <c r="J92" s="4"/>
      <c r="K92" s="4"/>
      <c r="L92" s="4"/>
    </row>
    <row r="93" spans="1:12" x14ac:dyDescent="0.25">
      <c r="A93" s="4" t="s">
        <v>6</v>
      </c>
      <c r="B93" s="4" t="s">
        <v>91</v>
      </c>
      <c r="C93" s="17">
        <v>15990253</v>
      </c>
      <c r="D93" s="4"/>
      <c r="E93" s="18">
        <v>51.1</v>
      </c>
      <c r="F93" s="19">
        <v>0.05</v>
      </c>
      <c r="G93" s="4"/>
      <c r="H93" s="20">
        <f t="shared" si="2"/>
        <v>16342000</v>
      </c>
      <c r="I93" s="4"/>
      <c r="J93" s="4"/>
      <c r="K93" s="4"/>
      <c r="L93" s="4"/>
    </row>
    <row r="94" spans="1:12" x14ac:dyDescent="0.25">
      <c r="A94" s="4" t="s">
        <v>6</v>
      </c>
      <c r="B94" s="4" t="s">
        <v>92</v>
      </c>
      <c r="C94" s="17">
        <v>16310058</v>
      </c>
      <c r="D94" s="4"/>
      <c r="E94" s="18">
        <v>71.5</v>
      </c>
      <c r="F94" s="19">
        <v>0.05</v>
      </c>
      <c r="G94" s="4"/>
      <c r="H94" s="20">
        <f t="shared" si="2"/>
        <v>23323000</v>
      </c>
      <c r="I94" s="4"/>
      <c r="J94" s="4"/>
      <c r="K94" s="4"/>
      <c r="L94" s="4"/>
    </row>
    <row r="95" spans="1:12" x14ac:dyDescent="0.25">
      <c r="A95" s="4" t="s">
        <v>6</v>
      </c>
      <c r="B95" s="4" t="s">
        <v>93</v>
      </c>
      <c r="C95" s="17">
        <v>15990253</v>
      </c>
      <c r="D95" s="4"/>
      <c r="E95" s="18">
        <v>70</v>
      </c>
      <c r="F95" s="19">
        <v>0.05</v>
      </c>
      <c r="G95" s="4"/>
      <c r="H95" s="20">
        <f t="shared" si="2"/>
        <v>22386000</v>
      </c>
      <c r="I95" s="4"/>
      <c r="J95" s="4"/>
      <c r="K95" s="4"/>
      <c r="L95" s="4"/>
    </row>
    <row r="96" spans="1:12" x14ac:dyDescent="0.25">
      <c r="A96" s="4" t="s">
        <v>6</v>
      </c>
      <c r="B96" s="4" t="s">
        <v>94</v>
      </c>
      <c r="C96" s="17">
        <v>15990253</v>
      </c>
      <c r="D96" s="4"/>
      <c r="E96" s="18">
        <v>70</v>
      </c>
      <c r="F96" s="19">
        <v>0.05</v>
      </c>
      <c r="G96" s="4"/>
      <c r="H96" s="20">
        <f t="shared" si="2"/>
        <v>22386000</v>
      </c>
      <c r="I96" s="4"/>
      <c r="J96" s="4"/>
      <c r="K96" s="4"/>
      <c r="L96" s="4"/>
    </row>
    <row r="97" spans="1:12" x14ac:dyDescent="0.25">
      <c r="A97" s="4" t="s">
        <v>6</v>
      </c>
      <c r="B97" s="4" t="s">
        <v>95</v>
      </c>
      <c r="C97" s="17">
        <v>15670448</v>
      </c>
      <c r="D97" s="4"/>
      <c r="E97" s="18">
        <v>70</v>
      </c>
      <c r="F97" s="19">
        <v>0.05</v>
      </c>
      <c r="G97" s="4"/>
      <c r="H97" s="20">
        <f t="shared" si="2"/>
        <v>21939000</v>
      </c>
      <c r="I97" s="4"/>
      <c r="J97" s="4"/>
      <c r="K97" s="4"/>
      <c r="L97" s="4"/>
    </row>
    <row r="98" spans="1:12" x14ac:dyDescent="0.25">
      <c r="A98" s="4" t="s">
        <v>6</v>
      </c>
      <c r="B98" s="4" t="s">
        <v>96</v>
      </c>
      <c r="C98" s="17">
        <v>15990253</v>
      </c>
      <c r="D98" s="4"/>
      <c r="E98" s="18">
        <v>70</v>
      </c>
      <c r="F98" s="19">
        <v>0.05</v>
      </c>
      <c r="G98" s="4"/>
      <c r="H98" s="20">
        <f t="shared" si="2"/>
        <v>22386000</v>
      </c>
      <c r="I98" s="4"/>
      <c r="J98" s="4"/>
      <c r="K98" s="4"/>
      <c r="L98" s="4"/>
    </row>
    <row r="99" spans="1:12" x14ac:dyDescent="0.25">
      <c r="A99" s="4" t="s">
        <v>6</v>
      </c>
      <c r="B99" s="4" t="s">
        <v>97</v>
      </c>
      <c r="C99" s="17">
        <v>15990253</v>
      </c>
      <c r="D99" s="4"/>
      <c r="E99" s="18">
        <v>70</v>
      </c>
      <c r="F99" s="19">
        <v>0.05</v>
      </c>
      <c r="G99" s="4"/>
      <c r="H99" s="20">
        <f t="shared" si="2"/>
        <v>22386000</v>
      </c>
      <c r="I99" s="4"/>
      <c r="J99" s="4"/>
      <c r="K99" s="4"/>
      <c r="L99" s="4"/>
    </row>
    <row r="100" spans="1:12" x14ac:dyDescent="0.25">
      <c r="A100" s="4" t="s">
        <v>6</v>
      </c>
      <c r="B100" s="4" t="s">
        <v>98</v>
      </c>
      <c r="C100" s="17">
        <v>16310058</v>
      </c>
      <c r="D100" s="4"/>
      <c r="E100" s="18">
        <v>70</v>
      </c>
      <c r="F100" s="19">
        <v>0.05</v>
      </c>
      <c r="G100" s="4"/>
      <c r="H100" s="20">
        <f t="shared" si="2"/>
        <v>22834000</v>
      </c>
      <c r="I100" s="4"/>
      <c r="J100" s="4"/>
      <c r="K100" s="4"/>
      <c r="L100" s="4"/>
    </row>
    <row r="101" spans="1:12" x14ac:dyDescent="0.25">
      <c r="A101" s="4" t="s">
        <v>6</v>
      </c>
      <c r="B101" s="4" t="s">
        <v>99</v>
      </c>
      <c r="C101" s="17">
        <v>16310058</v>
      </c>
      <c r="D101" s="4"/>
      <c r="E101" s="18">
        <v>71</v>
      </c>
      <c r="F101" s="19">
        <v>0.05</v>
      </c>
      <c r="G101" s="4"/>
      <c r="H101" s="20">
        <f t="shared" si="2"/>
        <v>23160000</v>
      </c>
      <c r="I101" s="4"/>
      <c r="J101" s="4"/>
      <c r="K101" s="4"/>
      <c r="L101" s="4"/>
    </row>
    <row r="102" spans="1:12" x14ac:dyDescent="0.25">
      <c r="A102" s="4" t="s">
        <v>6</v>
      </c>
      <c r="B102" s="4" t="s">
        <v>100</v>
      </c>
      <c r="C102" s="17">
        <v>15990253</v>
      </c>
      <c r="D102" s="4"/>
      <c r="E102" s="18">
        <v>69.5</v>
      </c>
      <c r="F102" s="19">
        <v>0.05</v>
      </c>
      <c r="G102" s="4"/>
      <c r="H102" s="20">
        <f t="shared" si="2"/>
        <v>22226000</v>
      </c>
      <c r="I102" s="4"/>
      <c r="J102" s="4"/>
      <c r="K102" s="4"/>
      <c r="L102" s="4"/>
    </row>
    <row r="103" spans="1:12" x14ac:dyDescent="0.25">
      <c r="A103" s="4" t="s">
        <v>6</v>
      </c>
      <c r="B103" s="4" t="s">
        <v>101</v>
      </c>
      <c r="C103" s="17">
        <v>15670448</v>
      </c>
      <c r="D103" s="4"/>
      <c r="E103" s="18">
        <v>51.1</v>
      </c>
      <c r="F103" s="19">
        <v>0.05</v>
      </c>
      <c r="G103" s="4"/>
      <c r="H103" s="20">
        <f t="shared" si="2"/>
        <v>16015000</v>
      </c>
      <c r="I103" s="4"/>
      <c r="J103" s="4"/>
      <c r="K103" s="4"/>
      <c r="L103" s="4"/>
    </row>
    <row r="104" spans="1:12" x14ac:dyDescent="0.25">
      <c r="A104" s="4" t="s">
        <v>6</v>
      </c>
      <c r="B104" s="4" t="s">
        <v>102</v>
      </c>
      <c r="C104" s="17">
        <v>15670448</v>
      </c>
      <c r="D104" s="4"/>
      <c r="E104" s="18">
        <v>69.5</v>
      </c>
      <c r="F104" s="19">
        <v>0.05</v>
      </c>
      <c r="G104" s="4"/>
      <c r="H104" s="20">
        <f t="shared" si="2"/>
        <v>21782000</v>
      </c>
      <c r="I104" s="4"/>
      <c r="J104" s="4"/>
      <c r="K104" s="4"/>
      <c r="L104" s="4"/>
    </row>
    <row r="105" spans="1:12" x14ac:dyDescent="0.25">
      <c r="A105" s="4" t="s">
        <v>6</v>
      </c>
      <c r="B105" s="4" t="s">
        <v>103</v>
      </c>
      <c r="C105" s="17">
        <v>15990253</v>
      </c>
      <c r="D105" s="4"/>
      <c r="E105" s="18">
        <v>69.5</v>
      </c>
      <c r="F105" s="19">
        <v>0.05</v>
      </c>
      <c r="G105" s="4"/>
      <c r="H105" s="20">
        <f t="shared" si="2"/>
        <v>22226000</v>
      </c>
      <c r="I105" s="4"/>
      <c r="J105" s="4"/>
      <c r="K105" s="4"/>
      <c r="L105" s="4"/>
    </row>
    <row r="106" spans="1:12" x14ac:dyDescent="0.25">
      <c r="A106" s="4" t="s">
        <v>6</v>
      </c>
      <c r="B106" s="4" t="s">
        <v>104</v>
      </c>
      <c r="C106" s="17">
        <v>15990253</v>
      </c>
      <c r="D106" s="4"/>
      <c r="E106" s="18">
        <v>51.1</v>
      </c>
      <c r="F106" s="19">
        <v>0.05</v>
      </c>
      <c r="G106" s="4"/>
      <c r="H106" s="20">
        <f t="shared" si="2"/>
        <v>16342000</v>
      </c>
      <c r="I106" s="4"/>
      <c r="J106" s="4"/>
      <c r="K106" s="4"/>
      <c r="L106" s="4"/>
    </row>
    <row r="107" spans="1:12" x14ac:dyDescent="0.25">
      <c r="A107" s="4" t="s">
        <v>6</v>
      </c>
      <c r="B107" s="4" t="s">
        <v>105</v>
      </c>
      <c r="C107" s="17">
        <v>16310058</v>
      </c>
      <c r="D107" s="4"/>
      <c r="E107" s="18">
        <v>71.5</v>
      </c>
      <c r="F107" s="19">
        <v>0.05</v>
      </c>
      <c r="G107" s="4"/>
      <c r="H107" s="20">
        <f t="shared" si="2"/>
        <v>23323000</v>
      </c>
      <c r="I107" s="4"/>
      <c r="J107" s="4"/>
      <c r="K107" s="4"/>
      <c r="L107" s="4"/>
    </row>
    <row r="108" spans="1:12" x14ac:dyDescent="0.25">
      <c r="A108" s="4" t="s">
        <v>6</v>
      </c>
      <c r="B108" s="4" t="s">
        <v>106</v>
      </c>
      <c r="C108" s="17">
        <v>15990253</v>
      </c>
      <c r="D108" s="4"/>
      <c r="E108" s="18">
        <v>70</v>
      </c>
      <c r="F108" s="19">
        <v>0.05</v>
      </c>
      <c r="G108" s="4"/>
      <c r="H108" s="20">
        <f t="shared" si="2"/>
        <v>22386000</v>
      </c>
      <c r="I108" s="4"/>
      <c r="J108" s="4"/>
      <c r="K108" s="4"/>
      <c r="L108" s="4"/>
    </row>
    <row r="109" spans="1:12" x14ac:dyDescent="0.25">
      <c r="A109" s="4" t="s">
        <v>6</v>
      </c>
      <c r="B109" s="4" t="s">
        <v>107</v>
      </c>
      <c r="C109" s="17">
        <v>15990253</v>
      </c>
      <c r="D109" s="4"/>
      <c r="E109" s="18">
        <v>70</v>
      </c>
      <c r="F109" s="19">
        <v>0.05</v>
      </c>
      <c r="G109" s="4"/>
      <c r="H109" s="20">
        <f t="shared" si="2"/>
        <v>22386000</v>
      </c>
      <c r="I109" s="4"/>
      <c r="J109" s="4"/>
      <c r="K109" s="4"/>
      <c r="L109" s="4"/>
    </row>
    <row r="110" spans="1:12" x14ac:dyDescent="0.25">
      <c r="A110" s="4" t="s">
        <v>6</v>
      </c>
      <c r="B110" s="4" t="s">
        <v>108</v>
      </c>
      <c r="C110" s="17">
        <v>15670448</v>
      </c>
      <c r="D110" s="4"/>
      <c r="E110" s="18">
        <v>70</v>
      </c>
      <c r="F110" s="19">
        <v>0.05</v>
      </c>
      <c r="G110" s="4"/>
      <c r="H110" s="20">
        <f t="shared" si="2"/>
        <v>21939000</v>
      </c>
      <c r="I110" s="4"/>
      <c r="J110" s="4"/>
      <c r="K110" s="4"/>
      <c r="L110" s="4"/>
    </row>
    <row r="111" spans="1:12" x14ac:dyDescent="0.25">
      <c r="A111" s="4" t="s">
        <v>6</v>
      </c>
      <c r="B111" s="4" t="s">
        <v>109</v>
      </c>
      <c r="C111" s="17">
        <v>15990253</v>
      </c>
      <c r="D111" s="4"/>
      <c r="E111" s="18">
        <v>70</v>
      </c>
      <c r="F111" s="19">
        <v>0.05</v>
      </c>
      <c r="G111" s="4"/>
      <c r="H111" s="20">
        <f t="shared" si="2"/>
        <v>22386000</v>
      </c>
      <c r="I111" s="4"/>
      <c r="J111" s="4"/>
      <c r="K111" s="4"/>
      <c r="L111" s="4"/>
    </row>
    <row r="112" spans="1:12" x14ac:dyDescent="0.25">
      <c r="A112" s="4" t="s">
        <v>6</v>
      </c>
      <c r="B112" s="4" t="s">
        <v>110</v>
      </c>
      <c r="C112" s="17">
        <v>15990253</v>
      </c>
      <c r="D112" s="4"/>
      <c r="E112" s="18">
        <v>70</v>
      </c>
      <c r="F112" s="19">
        <v>0.05</v>
      </c>
      <c r="G112" s="4"/>
      <c r="H112" s="20">
        <f t="shared" si="2"/>
        <v>22386000</v>
      </c>
      <c r="I112" s="4"/>
      <c r="J112" s="4"/>
      <c r="K112" s="4"/>
      <c r="L112" s="4"/>
    </row>
    <row r="113" spans="1:12" x14ac:dyDescent="0.25">
      <c r="A113" s="4" t="s">
        <v>6</v>
      </c>
      <c r="B113" s="4" t="s">
        <v>111</v>
      </c>
      <c r="C113" s="17">
        <v>16310058</v>
      </c>
      <c r="D113" s="4"/>
      <c r="E113" s="18">
        <v>70</v>
      </c>
      <c r="F113" s="19">
        <v>0.05</v>
      </c>
      <c r="G113" s="4"/>
      <c r="H113" s="20">
        <f t="shared" si="2"/>
        <v>22834000</v>
      </c>
      <c r="I113" s="4"/>
      <c r="J113" s="4"/>
      <c r="K113" s="4"/>
      <c r="L1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workbookViewId="0">
      <selection activeCell="J5" sqref="J5"/>
    </sheetView>
  </sheetViews>
  <sheetFormatPr defaultRowHeight="15" x14ac:dyDescent="0.25"/>
  <cols>
    <col min="1" max="1" width="14.85546875" customWidth="1"/>
    <col min="2" max="2" width="22.7109375" style="23" customWidth="1"/>
    <col min="3" max="3" width="25.5703125" style="23" customWidth="1"/>
    <col min="4" max="4" width="24.28515625" bestFit="1" customWidth="1"/>
    <col min="5" max="5" width="24.28515625" customWidth="1"/>
    <col min="6" max="6" width="13.28515625" style="26" customWidth="1"/>
    <col min="7" max="7" width="14" bestFit="1" customWidth="1"/>
    <col min="8" max="8" width="23.5703125" bestFit="1" customWidth="1"/>
    <col min="9" max="11" width="25.5703125" customWidth="1"/>
    <col min="12" max="12" width="24" customWidth="1"/>
    <col min="13" max="14" width="14.85546875" customWidth="1"/>
  </cols>
  <sheetData>
    <row r="1" spans="1:15" s="3" customFormat="1" ht="40.5" customHeight="1" x14ac:dyDescent="0.25">
      <c r="A1" s="1" t="s">
        <v>0</v>
      </c>
      <c r="B1" s="2" t="s">
        <v>1</v>
      </c>
      <c r="C1" s="2" t="s">
        <v>142</v>
      </c>
      <c r="D1" s="15" t="s">
        <v>143</v>
      </c>
      <c r="E1" s="15" t="s">
        <v>133</v>
      </c>
      <c r="F1" s="24" t="s">
        <v>134</v>
      </c>
      <c r="G1" s="15" t="s">
        <v>135</v>
      </c>
      <c r="H1" s="15" t="s">
        <v>136</v>
      </c>
      <c r="I1" s="15" t="s">
        <v>137</v>
      </c>
      <c r="J1" s="15" t="s">
        <v>138</v>
      </c>
      <c r="K1" s="15" t="s">
        <v>139</v>
      </c>
      <c r="L1" s="1" t="s">
        <v>2</v>
      </c>
      <c r="M1" s="1" t="s">
        <v>3</v>
      </c>
      <c r="N1" s="1" t="s">
        <v>4</v>
      </c>
      <c r="O1" s="1" t="s">
        <v>141</v>
      </c>
    </row>
    <row r="2" spans="1:15" s="3" customFormat="1" ht="22.5" customHeight="1" x14ac:dyDescent="0.25">
      <c r="A2" s="4" t="s">
        <v>112</v>
      </c>
      <c r="B2" s="22">
        <v>67.5</v>
      </c>
      <c r="C2" s="2">
        <v>62</v>
      </c>
      <c r="D2" s="17">
        <v>16310058</v>
      </c>
      <c r="E2" s="17">
        <f>+D2*C2</f>
        <v>1011223596</v>
      </c>
      <c r="F2" s="25">
        <v>0.05</v>
      </c>
      <c r="G2" s="17">
        <f>+E2*F2</f>
        <v>50561179.800000004</v>
      </c>
      <c r="H2" s="17">
        <f>ROUND(G2+E2,-3)</f>
        <v>1061785000</v>
      </c>
      <c r="I2" s="17">
        <f>+ROUND(E2*0.02,-3)</f>
        <v>20224000</v>
      </c>
      <c r="J2" s="17"/>
      <c r="K2" s="17">
        <f>+H2+I2+J2</f>
        <v>1082009000</v>
      </c>
      <c r="L2" s="5" t="s">
        <v>140</v>
      </c>
      <c r="M2" s="4" t="s">
        <v>8</v>
      </c>
      <c r="N2" s="4" t="s">
        <v>8</v>
      </c>
      <c r="O2" s="6" t="s">
        <v>121</v>
      </c>
    </row>
    <row r="3" spans="1:15" s="3" customFormat="1" ht="22.5" customHeight="1" x14ac:dyDescent="0.25">
      <c r="A3" s="4" t="s">
        <v>113</v>
      </c>
      <c r="B3" s="22">
        <v>66.8</v>
      </c>
      <c r="C3" s="2">
        <v>61.4</v>
      </c>
      <c r="D3" s="17">
        <v>15990253</v>
      </c>
      <c r="E3" s="17">
        <f t="shared" ref="E3:E66" si="0">+D3*C3</f>
        <v>981801534.19999993</v>
      </c>
      <c r="F3" s="25">
        <v>0.05</v>
      </c>
      <c r="G3" s="17">
        <f t="shared" ref="G3:G66" si="1">+E3*F3</f>
        <v>49090076.710000001</v>
      </c>
      <c r="H3" s="17">
        <f t="shared" ref="H3:H66" si="2">ROUND(G3+E3,-3)</f>
        <v>1030892000</v>
      </c>
      <c r="I3" s="17">
        <f t="shared" ref="I3:I66" si="3">+ROUND(E3*0.02,-3)</f>
        <v>19636000</v>
      </c>
      <c r="J3" s="17"/>
      <c r="K3" s="17">
        <f t="shared" ref="K3:K66" si="4">+H3+I3+J3</f>
        <v>1050528000</v>
      </c>
      <c r="L3" s="5" t="s">
        <v>140</v>
      </c>
      <c r="M3" s="4" t="s">
        <v>8</v>
      </c>
      <c r="N3" s="4" t="s">
        <v>8</v>
      </c>
      <c r="O3" s="6" t="s">
        <v>121</v>
      </c>
    </row>
    <row r="4" spans="1:15" s="3" customFormat="1" ht="22.5" customHeight="1" x14ac:dyDescent="0.25">
      <c r="A4" s="4" t="s">
        <v>114</v>
      </c>
      <c r="B4" s="22">
        <v>66</v>
      </c>
      <c r="C4" s="2">
        <v>61.2</v>
      </c>
      <c r="D4" s="17">
        <v>15990253</v>
      </c>
      <c r="E4" s="17">
        <f t="shared" si="0"/>
        <v>978603483.60000002</v>
      </c>
      <c r="F4" s="25">
        <v>0.05</v>
      </c>
      <c r="G4" s="17">
        <f t="shared" si="1"/>
        <v>48930174.180000007</v>
      </c>
      <c r="H4" s="17">
        <f t="shared" si="2"/>
        <v>1027534000</v>
      </c>
      <c r="I4" s="17">
        <f t="shared" si="3"/>
        <v>19572000</v>
      </c>
      <c r="J4" s="17"/>
      <c r="K4" s="17">
        <f t="shared" si="4"/>
        <v>1047106000</v>
      </c>
      <c r="L4" s="5" t="s">
        <v>140</v>
      </c>
      <c r="M4" s="4" t="s">
        <v>8</v>
      </c>
      <c r="N4" s="4" t="s">
        <v>8</v>
      </c>
      <c r="O4" s="6" t="s">
        <v>121</v>
      </c>
    </row>
    <row r="5" spans="1:15" s="3" customFormat="1" ht="22.5" customHeight="1" x14ac:dyDescent="0.25">
      <c r="A5" s="4" t="s">
        <v>115</v>
      </c>
      <c r="B5" s="22">
        <v>48</v>
      </c>
      <c r="C5" s="2">
        <v>44.7</v>
      </c>
      <c r="D5" s="17">
        <v>15990253</v>
      </c>
      <c r="E5" s="17">
        <f t="shared" si="0"/>
        <v>714764309.10000002</v>
      </c>
      <c r="F5" s="25">
        <v>0.05</v>
      </c>
      <c r="G5" s="17">
        <f t="shared" si="1"/>
        <v>35738215.455000006</v>
      </c>
      <c r="H5" s="17">
        <f t="shared" si="2"/>
        <v>750503000</v>
      </c>
      <c r="I5" s="17">
        <f t="shared" si="3"/>
        <v>14295000</v>
      </c>
      <c r="J5" s="17"/>
      <c r="K5" s="17">
        <f t="shared" si="4"/>
        <v>764798000</v>
      </c>
      <c r="L5" s="5" t="s">
        <v>140</v>
      </c>
      <c r="M5" s="4" t="s">
        <v>8</v>
      </c>
      <c r="N5" s="4" t="s">
        <v>8</v>
      </c>
      <c r="O5" s="6" t="s">
        <v>121</v>
      </c>
    </row>
    <row r="6" spans="1:15" s="3" customFormat="1" ht="22.5" customHeight="1" x14ac:dyDescent="0.25">
      <c r="A6" s="4" t="s">
        <v>116</v>
      </c>
      <c r="B6" s="22">
        <v>67.5</v>
      </c>
      <c r="C6" s="2">
        <v>62.5</v>
      </c>
      <c r="D6" s="17">
        <v>16310058</v>
      </c>
      <c r="E6" s="17">
        <f t="shared" si="0"/>
        <v>1019378625</v>
      </c>
      <c r="F6" s="25">
        <v>0.05</v>
      </c>
      <c r="G6" s="17">
        <f t="shared" si="1"/>
        <v>50968931.25</v>
      </c>
      <c r="H6" s="17">
        <f t="shared" si="2"/>
        <v>1070348000</v>
      </c>
      <c r="I6" s="17">
        <f t="shared" si="3"/>
        <v>20388000</v>
      </c>
      <c r="J6" s="17"/>
      <c r="K6" s="17">
        <f t="shared" si="4"/>
        <v>1090736000</v>
      </c>
      <c r="L6" s="5" t="s">
        <v>140</v>
      </c>
      <c r="M6" s="1" t="s">
        <v>7</v>
      </c>
      <c r="N6" s="1" t="s">
        <v>7</v>
      </c>
      <c r="O6" s="6" t="s">
        <v>121</v>
      </c>
    </row>
    <row r="7" spans="1:15" s="3" customFormat="1" ht="22.5" customHeight="1" x14ac:dyDescent="0.25">
      <c r="A7" s="4" t="s">
        <v>117</v>
      </c>
      <c r="B7" s="22">
        <v>66.8</v>
      </c>
      <c r="C7" s="2">
        <v>61.9</v>
      </c>
      <c r="D7" s="17">
        <v>15990253</v>
      </c>
      <c r="E7" s="17">
        <f t="shared" si="0"/>
        <v>989796660.69999993</v>
      </c>
      <c r="F7" s="25">
        <v>0.05</v>
      </c>
      <c r="G7" s="17">
        <f t="shared" si="1"/>
        <v>49489833.034999996</v>
      </c>
      <c r="H7" s="17">
        <f t="shared" si="2"/>
        <v>1039286000</v>
      </c>
      <c r="I7" s="17">
        <f t="shared" si="3"/>
        <v>19796000</v>
      </c>
      <c r="J7" s="17"/>
      <c r="K7" s="17">
        <f t="shared" si="4"/>
        <v>1059082000</v>
      </c>
      <c r="L7" s="5" t="s">
        <v>140</v>
      </c>
      <c r="M7" s="1" t="s">
        <v>7</v>
      </c>
      <c r="N7" s="1" t="s">
        <v>7</v>
      </c>
      <c r="O7" s="6" t="s">
        <v>121</v>
      </c>
    </row>
    <row r="8" spans="1:15" s="3" customFormat="1" ht="22.5" customHeight="1" x14ac:dyDescent="0.25">
      <c r="A8" s="4" t="s">
        <v>118</v>
      </c>
      <c r="B8" s="22">
        <v>66</v>
      </c>
      <c r="C8" s="2">
        <v>61.6</v>
      </c>
      <c r="D8" s="17">
        <v>15990253</v>
      </c>
      <c r="E8" s="17">
        <f t="shared" si="0"/>
        <v>984999584.80000007</v>
      </c>
      <c r="F8" s="25">
        <v>0.05</v>
      </c>
      <c r="G8" s="17">
        <f t="shared" si="1"/>
        <v>49249979.24000001</v>
      </c>
      <c r="H8" s="17">
        <f t="shared" si="2"/>
        <v>1034250000</v>
      </c>
      <c r="I8" s="17">
        <f t="shared" si="3"/>
        <v>19700000</v>
      </c>
      <c r="J8" s="17"/>
      <c r="K8" s="17">
        <f t="shared" si="4"/>
        <v>1053950000</v>
      </c>
      <c r="L8" s="5" t="s">
        <v>140</v>
      </c>
      <c r="M8" s="1" t="s">
        <v>7</v>
      </c>
      <c r="N8" s="1" t="s">
        <v>7</v>
      </c>
      <c r="O8" s="6" t="s">
        <v>121</v>
      </c>
    </row>
    <row r="9" spans="1:15" s="3" customFormat="1" ht="22.5" customHeight="1" x14ac:dyDescent="0.25">
      <c r="A9" s="4" t="s">
        <v>119</v>
      </c>
      <c r="B9" s="22">
        <v>66.3</v>
      </c>
      <c r="C9" s="2">
        <v>61.6</v>
      </c>
      <c r="D9" s="17">
        <v>16310058</v>
      </c>
      <c r="E9" s="17">
        <f t="shared" si="0"/>
        <v>1004699572.8000001</v>
      </c>
      <c r="F9" s="25">
        <v>0.05</v>
      </c>
      <c r="G9" s="17">
        <f t="shared" si="1"/>
        <v>50234978.640000008</v>
      </c>
      <c r="H9" s="17">
        <f t="shared" si="2"/>
        <v>1054935000</v>
      </c>
      <c r="I9" s="17">
        <f t="shared" si="3"/>
        <v>20094000</v>
      </c>
      <c r="J9" s="17"/>
      <c r="K9" s="17">
        <f t="shared" si="4"/>
        <v>1075029000</v>
      </c>
      <c r="L9" s="5" t="s">
        <v>140</v>
      </c>
      <c r="M9" s="1" t="s">
        <v>7</v>
      </c>
      <c r="N9" s="1" t="s">
        <v>7</v>
      </c>
      <c r="O9" s="6" t="s">
        <v>121</v>
      </c>
    </row>
    <row r="10" spans="1:15" ht="22.5" customHeight="1" x14ac:dyDescent="0.25">
      <c r="A10" s="4" t="s">
        <v>5</v>
      </c>
      <c r="B10" s="22">
        <v>77.3</v>
      </c>
      <c r="C10" s="22">
        <v>71</v>
      </c>
      <c r="D10" s="17">
        <v>16310058</v>
      </c>
      <c r="E10" s="17">
        <f t="shared" si="0"/>
        <v>1158014118</v>
      </c>
      <c r="F10" s="25">
        <v>0.05</v>
      </c>
      <c r="G10" s="17">
        <f t="shared" si="1"/>
        <v>57900705.900000006</v>
      </c>
      <c r="H10" s="17">
        <f t="shared" si="2"/>
        <v>1215915000</v>
      </c>
      <c r="I10" s="17">
        <f t="shared" si="3"/>
        <v>23160000</v>
      </c>
      <c r="J10" s="17"/>
      <c r="K10" s="17">
        <f t="shared" si="4"/>
        <v>1239075000</v>
      </c>
      <c r="L10" s="5" t="s">
        <v>140</v>
      </c>
      <c r="M10" s="4" t="s">
        <v>7</v>
      </c>
      <c r="N10" s="4" t="s">
        <v>8</v>
      </c>
      <c r="O10" s="6" t="s">
        <v>120</v>
      </c>
    </row>
    <row r="11" spans="1:15" ht="22.5" customHeight="1" x14ac:dyDescent="0.25">
      <c r="A11" s="4" t="s">
        <v>9</v>
      </c>
      <c r="B11" s="22">
        <v>74.5</v>
      </c>
      <c r="C11" s="22">
        <v>69.5</v>
      </c>
      <c r="D11" s="17">
        <v>15990253</v>
      </c>
      <c r="E11" s="17">
        <f t="shared" si="0"/>
        <v>1111322583.5</v>
      </c>
      <c r="F11" s="25">
        <v>0.05</v>
      </c>
      <c r="G11" s="17">
        <f t="shared" si="1"/>
        <v>55566129.175000004</v>
      </c>
      <c r="H11" s="17">
        <f t="shared" si="2"/>
        <v>1166889000</v>
      </c>
      <c r="I11" s="17">
        <f t="shared" si="3"/>
        <v>22226000</v>
      </c>
      <c r="J11" s="17"/>
      <c r="K11" s="17">
        <f t="shared" si="4"/>
        <v>1189115000</v>
      </c>
      <c r="L11" s="5" t="s">
        <v>140</v>
      </c>
      <c r="M11" s="4" t="s">
        <v>7</v>
      </c>
      <c r="N11" s="4" t="s">
        <v>8</v>
      </c>
      <c r="O11" s="6" t="s">
        <v>120</v>
      </c>
    </row>
    <row r="12" spans="1:15" ht="22.5" customHeight="1" x14ac:dyDescent="0.25">
      <c r="A12" s="4" t="s">
        <v>10</v>
      </c>
      <c r="B12" s="22">
        <v>55.2</v>
      </c>
      <c r="C12" s="22">
        <v>51.1</v>
      </c>
      <c r="D12" s="17">
        <v>15670448</v>
      </c>
      <c r="E12" s="17">
        <f t="shared" si="0"/>
        <v>800759892.80000007</v>
      </c>
      <c r="F12" s="25">
        <v>0.05</v>
      </c>
      <c r="G12" s="17">
        <f t="shared" si="1"/>
        <v>40037994.640000008</v>
      </c>
      <c r="H12" s="17">
        <f t="shared" si="2"/>
        <v>840798000</v>
      </c>
      <c r="I12" s="17">
        <f t="shared" si="3"/>
        <v>16015000</v>
      </c>
      <c r="J12" s="17"/>
      <c r="K12" s="17">
        <f t="shared" si="4"/>
        <v>856813000</v>
      </c>
      <c r="L12" s="5" t="s">
        <v>140</v>
      </c>
      <c r="M12" s="4" t="s">
        <v>7</v>
      </c>
      <c r="N12" s="4" t="s">
        <v>8</v>
      </c>
      <c r="O12" s="6" t="s">
        <v>121</v>
      </c>
    </row>
    <row r="13" spans="1:15" ht="22.5" customHeight="1" x14ac:dyDescent="0.25">
      <c r="A13" s="4" t="s">
        <v>11</v>
      </c>
      <c r="B13" s="22">
        <v>74.5</v>
      </c>
      <c r="C13" s="22">
        <v>69.5</v>
      </c>
      <c r="D13" s="17">
        <v>15670448</v>
      </c>
      <c r="E13" s="17">
        <f t="shared" si="0"/>
        <v>1089096136</v>
      </c>
      <c r="F13" s="25">
        <v>0.05</v>
      </c>
      <c r="G13" s="17">
        <f t="shared" si="1"/>
        <v>54454806.800000004</v>
      </c>
      <c r="H13" s="17">
        <f t="shared" si="2"/>
        <v>1143551000</v>
      </c>
      <c r="I13" s="17">
        <f t="shared" si="3"/>
        <v>21782000</v>
      </c>
      <c r="J13" s="17"/>
      <c r="K13" s="17">
        <f t="shared" si="4"/>
        <v>1165333000</v>
      </c>
      <c r="L13" s="5" t="s">
        <v>140</v>
      </c>
      <c r="M13" s="4" t="s">
        <v>7</v>
      </c>
      <c r="N13" s="4" t="s">
        <v>8</v>
      </c>
      <c r="O13" s="7" t="s">
        <v>120</v>
      </c>
    </row>
    <row r="14" spans="1:15" ht="22.5" customHeight="1" x14ac:dyDescent="0.25">
      <c r="A14" s="4" t="s">
        <v>12</v>
      </c>
      <c r="B14" s="22">
        <v>74.5</v>
      </c>
      <c r="C14" s="22">
        <v>69.5</v>
      </c>
      <c r="D14" s="17">
        <v>15990253</v>
      </c>
      <c r="E14" s="17">
        <f t="shared" si="0"/>
        <v>1111322583.5</v>
      </c>
      <c r="F14" s="25">
        <v>0.05</v>
      </c>
      <c r="G14" s="17">
        <f t="shared" si="1"/>
        <v>55566129.175000004</v>
      </c>
      <c r="H14" s="17">
        <f t="shared" si="2"/>
        <v>1166889000</v>
      </c>
      <c r="I14" s="17">
        <f t="shared" si="3"/>
        <v>22226000</v>
      </c>
      <c r="J14" s="17"/>
      <c r="K14" s="17">
        <f t="shared" si="4"/>
        <v>1189115000</v>
      </c>
      <c r="L14" s="5" t="s">
        <v>140</v>
      </c>
      <c r="M14" s="4" t="s">
        <v>7</v>
      </c>
      <c r="N14" s="4" t="s">
        <v>8</v>
      </c>
      <c r="O14" s="6" t="s">
        <v>120</v>
      </c>
    </row>
    <row r="15" spans="1:15" ht="22.5" customHeight="1" x14ac:dyDescent="0.25">
      <c r="A15" s="4" t="s">
        <v>13</v>
      </c>
      <c r="B15" s="22">
        <v>55.2</v>
      </c>
      <c r="C15" s="22">
        <v>51.1</v>
      </c>
      <c r="D15" s="17">
        <v>15990253</v>
      </c>
      <c r="E15" s="17">
        <f t="shared" si="0"/>
        <v>817101928.30000007</v>
      </c>
      <c r="F15" s="25">
        <v>0.05</v>
      </c>
      <c r="G15" s="17">
        <f t="shared" si="1"/>
        <v>40855096.415000007</v>
      </c>
      <c r="H15" s="17">
        <f t="shared" si="2"/>
        <v>857957000</v>
      </c>
      <c r="I15" s="17">
        <f t="shared" si="3"/>
        <v>16342000</v>
      </c>
      <c r="J15" s="17"/>
      <c r="K15" s="17">
        <f t="shared" si="4"/>
        <v>874299000</v>
      </c>
      <c r="L15" s="5" t="s">
        <v>140</v>
      </c>
      <c r="M15" s="4" t="s">
        <v>7</v>
      </c>
      <c r="N15" s="4" t="s">
        <v>8</v>
      </c>
      <c r="O15" s="8" t="s">
        <v>121</v>
      </c>
    </row>
    <row r="16" spans="1:15" ht="22.5" customHeight="1" x14ac:dyDescent="0.25">
      <c r="A16" s="4" t="s">
        <v>14</v>
      </c>
      <c r="B16" s="22">
        <v>77.3</v>
      </c>
      <c r="C16" s="22">
        <v>71.5</v>
      </c>
      <c r="D16" s="17">
        <v>16310058</v>
      </c>
      <c r="E16" s="17">
        <f t="shared" si="0"/>
        <v>1166169147</v>
      </c>
      <c r="F16" s="25">
        <v>0.05</v>
      </c>
      <c r="G16" s="17">
        <f t="shared" si="1"/>
        <v>58308457.350000001</v>
      </c>
      <c r="H16" s="17">
        <f t="shared" si="2"/>
        <v>1224478000</v>
      </c>
      <c r="I16" s="17">
        <f t="shared" si="3"/>
        <v>23323000</v>
      </c>
      <c r="J16" s="17"/>
      <c r="K16" s="17">
        <f t="shared" si="4"/>
        <v>1247801000</v>
      </c>
      <c r="L16" s="5" t="s">
        <v>140</v>
      </c>
      <c r="M16" s="4" t="s">
        <v>8</v>
      </c>
      <c r="N16" s="4" t="s">
        <v>7</v>
      </c>
      <c r="O16" s="6" t="s">
        <v>120</v>
      </c>
    </row>
    <row r="17" spans="1:15" ht="22.5" customHeight="1" x14ac:dyDescent="0.25">
      <c r="A17" s="4" t="s">
        <v>15</v>
      </c>
      <c r="B17" s="22">
        <v>74.5</v>
      </c>
      <c r="C17" s="22">
        <v>70</v>
      </c>
      <c r="D17" s="17">
        <v>15990253</v>
      </c>
      <c r="E17" s="17">
        <f t="shared" si="0"/>
        <v>1119317710</v>
      </c>
      <c r="F17" s="25">
        <v>0.05</v>
      </c>
      <c r="G17" s="17">
        <f t="shared" si="1"/>
        <v>55965885.5</v>
      </c>
      <c r="H17" s="17">
        <f t="shared" si="2"/>
        <v>1175284000</v>
      </c>
      <c r="I17" s="17">
        <f t="shared" si="3"/>
        <v>22386000</v>
      </c>
      <c r="J17" s="17"/>
      <c r="K17" s="17">
        <f t="shared" si="4"/>
        <v>1197670000</v>
      </c>
      <c r="L17" s="5" t="s">
        <v>140</v>
      </c>
      <c r="M17" s="4" t="s">
        <v>8</v>
      </c>
      <c r="N17" s="4" t="s">
        <v>7</v>
      </c>
      <c r="O17" s="6" t="s">
        <v>120</v>
      </c>
    </row>
    <row r="18" spans="1:15" ht="22.5" customHeight="1" x14ac:dyDescent="0.25">
      <c r="A18" s="4" t="s">
        <v>16</v>
      </c>
      <c r="B18" s="22">
        <v>74.5</v>
      </c>
      <c r="C18" s="22">
        <v>70</v>
      </c>
      <c r="D18" s="17">
        <v>15990253</v>
      </c>
      <c r="E18" s="17">
        <f t="shared" si="0"/>
        <v>1119317710</v>
      </c>
      <c r="F18" s="25">
        <v>0.05</v>
      </c>
      <c r="G18" s="17">
        <f t="shared" si="1"/>
        <v>55965885.5</v>
      </c>
      <c r="H18" s="17">
        <f t="shared" si="2"/>
        <v>1175284000</v>
      </c>
      <c r="I18" s="17">
        <f t="shared" si="3"/>
        <v>22386000</v>
      </c>
      <c r="J18" s="17"/>
      <c r="K18" s="17">
        <f t="shared" si="4"/>
        <v>1197670000</v>
      </c>
      <c r="L18" s="5" t="s">
        <v>140</v>
      </c>
      <c r="M18" s="4" t="s">
        <v>8</v>
      </c>
      <c r="N18" s="4" t="s">
        <v>7</v>
      </c>
      <c r="O18" s="6" t="s">
        <v>120</v>
      </c>
    </row>
    <row r="19" spans="1:15" ht="22.5" customHeight="1" x14ac:dyDescent="0.25">
      <c r="A19" s="4" t="s">
        <v>17</v>
      </c>
      <c r="B19" s="22">
        <v>74.5</v>
      </c>
      <c r="C19" s="22">
        <v>70</v>
      </c>
      <c r="D19" s="17">
        <v>15670448</v>
      </c>
      <c r="E19" s="17">
        <f t="shared" si="0"/>
        <v>1096931360</v>
      </c>
      <c r="F19" s="25">
        <v>0.05</v>
      </c>
      <c r="G19" s="17">
        <f t="shared" si="1"/>
        <v>54846568</v>
      </c>
      <c r="H19" s="17">
        <f t="shared" si="2"/>
        <v>1151778000</v>
      </c>
      <c r="I19" s="17">
        <f t="shared" si="3"/>
        <v>21939000</v>
      </c>
      <c r="J19" s="17"/>
      <c r="K19" s="17">
        <f t="shared" si="4"/>
        <v>1173717000</v>
      </c>
      <c r="L19" s="5" t="s">
        <v>140</v>
      </c>
      <c r="M19" s="4" t="s">
        <v>8</v>
      </c>
      <c r="N19" s="4" t="s">
        <v>7</v>
      </c>
      <c r="O19" s="6" t="s">
        <v>120</v>
      </c>
    </row>
    <row r="20" spans="1:15" ht="22.5" customHeight="1" x14ac:dyDescent="0.25">
      <c r="A20" s="4" t="s">
        <v>18</v>
      </c>
      <c r="B20" s="22">
        <v>74.5</v>
      </c>
      <c r="C20" s="22">
        <v>70</v>
      </c>
      <c r="D20" s="17">
        <v>15990253</v>
      </c>
      <c r="E20" s="17">
        <f t="shared" si="0"/>
        <v>1119317710</v>
      </c>
      <c r="F20" s="25">
        <v>0.05</v>
      </c>
      <c r="G20" s="17">
        <f t="shared" si="1"/>
        <v>55965885.5</v>
      </c>
      <c r="H20" s="17">
        <f t="shared" si="2"/>
        <v>1175284000</v>
      </c>
      <c r="I20" s="17">
        <f t="shared" si="3"/>
        <v>22386000</v>
      </c>
      <c r="J20" s="17"/>
      <c r="K20" s="17">
        <f t="shared" si="4"/>
        <v>1197670000</v>
      </c>
      <c r="L20" s="5" t="s">
        <v>140</v>
      </c>
      <c r="M20" s="4" t="s">
        <v>8</v>
      </c>
      <c r="N20" s="4" t="s">
        <v>7</v>
      </c>
      <c r="O20" s="6" t="s">
        <v>120</v>
      </c>
    </row>
    <row r="21" spans="1:15" ht="22.5" customHeight="1" x14ac:dyDescent="0.25">
      <c r="A21" s="4" t="s">
        <v>19</v>
      </c>
      <c r="B21" s="22">
        <v>74.5</v>
      </c>
      <c r="C21" s="22">
        <v>70</v>
      </c>
      <c r="D21" s="17">
        <v>15990253</v>
      </c>
      <c r="E21" s="17">
        <f t="shared" si="0"/>
        <v>1119317710</v>
      </c>
      <c r="F21" s="25">
        <v>0.05</v>
      </c>
      <c r="G21" s="17">
        <f t="shared" si="1"/>
        <v>55965885.5</v>
      </c>
      <c r="H21" s="17">
        <f t="shared" si="2"/>
        <v>1175284000</v>
      </c>
      <c r="I21" s="17">
        <f t="shared" si="3"/>
        <v>22386000</v>
      </c>
      <c r="J21" s="17"/>
      <c r="K21" s="17">
        <f t="shared" si="4"/>
        <v>1197670000</v>
      </c>
      <c r="L21" s="5" t="s">
        <v>140</v>
      </c>
      <c r="M21" s="4" t="s">
        <v>8</v>
      </c>
      <c r="N21" s="4" t="s">
        <v>7</v>
      </c>
      <c r="O21" s="6" t="s">
        <v>120</v>
      </c>
    </row>
    <row r="22" spans="1:15" ht="22.5" customHeight="1" x14ac:dyDescent="0.25">
      <c r="A22" s="4" t="s">
        <v>20</v>
      </c>
      <c r="B22" s="22">
        <v>75.7</v>
      </c>
      <c r="C22" s="22">
        <v>70</v>
      </c>
      <c r="D22" s="17">
        <v>16310058</v>
      </c>
      <c r="E22" s="17">
        <f t="shared" si="0"/>
        <v>1141704060</v>
      </c>
      <c r="F22" s="25">
        <v>0.05</v>
      </c>
      <c r="G22" s="17">
        <f t="shared" si="1"/>
        <v>57085203</v>
      </c>
      <c r="H22" s="17">
        <f t="shared" si="2"/>
        <v>1198789000</v>
      </c>
      <c r="I22" s="17">
        <f t="shared" si="3"/>
        <v>22834000</v>
      </c>
      <c r="J22" s="17"/>
      <c r="K22" s="17">
        <f t="shared" si="4"/>
        <v>1221623000</v>
      </c>
      <c r="L22" s="5" t="s">
        <v>140</v>
      </c>
      <c r="M22" s="4" t="s">
        <v>8</v>
      </c>
      <c r="N22" s="4" t="s">
        <v>7</v>
      </c>
      <c r="O22" s="6" t="s">
        <v>120</v>
      </c>
    </row>
    <row r="23" spans="1:15" ht="22.5" customHeight="1" x14ac:dyDescent="0.25">
      <c r="A23" s="4" t="s">
        <v>21</v>
      </c>
      <c r="B23" s="22">
        <v>77.3</v>
      </c>
      <c r="C23" s="22">
        <v>71</v>
      </c>
      <c r="D23" s="17">
        <v>16310058</v>
      </c>
      <c r="E23" s="17">
        <f t="shared" si="0"/>
        <v>1158014118</v>
      </c>
      <c r="F23" s="25">
        <v>0.05</v>
      </c>
      <c r="G23" s="17">
        <f t="shared" si="1"/>
        <v>57900705.900000006</v>
      </c>
      <c r="H23" s="17">
        <f t="shared" si="2"/>
        <v>1215915000</v>
      </c>
      <c r="I23" s="17">
        <f t="shared" si="3"/>
        <v>23160000</v>
      </c>
      <c r="J23" s="17"/>
      <c r="K23" s="17">
        <f t="shared" si="4"/>
        <v>1239075000</v>
      </c>
      <c r="L23" s="5" t="s">
        <v>140</v>
      </c>
      <c r="M23" s="4" t="s">
        <v>7</v>
      </c>
      <c r="N23" s="4" t="s">
        <v>8</v>
      </c>
      <c r="O23" s="6" t="s">
        <v>120</v>
      </c>
    </row>
    <row r="24" spans="1:15" ht="22.5" customHeight="1" x14ac:dyDescent="0.25">
      <c r="A24" s="4" t="s">
        <v>22</v>
      </c>
      <c r="B24" s="22">
        <v>74.5</v>
      </c>
      <c r="C24" s="22">
        <v>69.5</v>
      </c>
      <c r="D24" s="17">
        <v>15990253</v>
      </c>
      <c r="E24" s="17">
        <f t="shared" si="0"/>
        <v>1111322583.5</v>
      </c>
      <c r="F24" s="25">
        <v>0.05</v>
      </c>
      <c r="G24" s="17">
        <f t="shared" si="1"/>
        <v>55566129.175000004</v>
      </c>
      <c r="H24" s="17">
        <f t="shared" si="2"/>
        <v>1166889000</v>
      </c>
      <c r="I24" s="17">
        <f t="shared" si="3"/>
        <v>22226000</v>
      </c>
      <c r="J24" s="17"/>
      <c r="K24" s="17">
        <f t="shared" si="4"/>
        <v>1189115000</v>
      </c>
      <c r="L24" s="5" t="s">
        <v>140</v>
      </c>
      <c r="M24" s="4" t="s">
        <v>7</v>
      </c>
      <c r="N24" s="4" t="s">
        <v>8</v>
      </c>
      <c r="O24" s="6" t="s">
        <v>120</v>
      </c>
    </row>
    <row r="25" spans="1:15" ht="22.5" customHeight="1" x14ac:dyDescent="0.25">
      <c r="A25" s="4" t="s">
        <v>23</v>
      </c>
      <c r="B25" s="22">
        <v>55.2</v>
      </c>
      <c r="C25" s="22">
        <v>51.1</v>
      </c>
      <c r="D25" s="17">
        <v>15670448</v>
      </c>
      <c r="E25" s="17">
        <f t="shared" si="0"/>
        <v>800759892.80000007</v>
      </c>
      <c r="F25" s="25">
        <v>0.05</v>
      </c>
      <c r="G25" s="17">
        <f t="shared" si="1"/>
        <v>40037994.640000008</v>
      </c>
      <c r="H25" s="17">
        <f t="shared" si="2"/>
        <v>840798000</v>
      </c>
      <c r="I25" s="17">
        <f t="shared" si="3"/>
        <v>16015000</v>
      </c>
      <c r="J25" s="17"/>
      <c r="K25" s="17">
        <f t="shared" si="4"/>
        <v>856813000</v>
      </c>
      <c r="L25" s="5" t="s">
        <v>140</v>
      </c>
      <c r="M25" s="4" t="s">
        <v>7</v>
      </c>
      <c r="N25" s="4" t="s">
        <v>8</v>
      </c>
      <c r="O25" s="7" t="s">
        <v>121</v>
      </c>
    </row>
    <row r="26" spans="1:15" ht="22.5" customHeight="1" x14ac:dyDescent="0.25">
      <c r="A26" s="4" t="s">
        <v>24</v>
      </c>
      <c r="B26" s="22">
        <v>74.5</v>
      </c>
      <c r="C26" s="22">
        <v>69.5</v>
      </c>
      <c r="D26" s="17">
        <v>15670448</v>
      </c>
      <c r="E26" s="17">
        <f t="shared" si="0"/>
        <v>1089096136</v>
      </c>
      <c r="F26" s="25">
        <v>0.05</v>
      </c>
      <c r="G26" s="17">
        <f t="shared" si="1"/>
        <v>54454806.800000004</v>
      </c>
      <c r="H26" s="17">
        <f t="shared" si="2"/>
        <v>1143551000</v>
      </c>
      <c r="I26" s="17">
        <f t="shared" si="3"/>
        <v>21782000</v>
      </c>
      <c r="J26" s="17"/>
      <c r="K26" s="17">
        <f t="shared" si="4"/>
        <v>1165333000</v>
      </c>
      <c r="L26" s="5" t="s">
        <v>140</v>
      </c>
      <c r="M26" s="4" t="s">
        <v>7</v>
      </c>
      <c r="N26" s="4" t="s">
        <v>8</v>
      </c>
      <c r="O26" s="6" t="s">
        <v>120</v>
      </c>
    </row>
    <row r="27" spans="1:15" ht="22.5" customHeight="1" x14ac:dyDescent="0.25">
      <c r="A27" s="4" t="s">
        <v>25</v>
      </c>
      <c r="B27" s="22">
        <v>74.5</v>
      </c>
      <c r="C27" s="22">
        <v>69.5</v>
      </c>
      <c r="D27" s="17">
        <v>15990253</v>
      </c>
      <c r="E27" s="17">
        <f t="shared" si="0"/>
        <v>1111322583.5</v>
      </c>
      <c r="F27" s="25">
        <v>0.05</v>
      </c>
      <c r="G27" s="17">
        <f t="shared" si="1"/>
        <v>55566129.175000004</v>
      </c>
      <c r="H27" s="17">
        <f t="shared" si="2"/>
        <v>1166889000</v>
      </c>
      <c r="I27" s="17">
        <f t="shared" si="3"/>
        <v>22226000</v>
      </c>
      <c r="J27" s="17"/>
      <c r="K27" s="17">
        <f t="shared" si="4"/>
        <v>1189115000</v>
      </c>
      <c r="L27" s="5" t="s">
        <v>140</v>
      </c>
      <c r="M27" s="4" t="s">
        <v>7</v>
      </c>
      <c r="N27" s="4" t="s">
        <v>8</v>
      </c>
      <c r="O27" s="6" t="s">
        <v>120</v>
      </c>
    </row>
    <row r="28" spans="1:15" ht="22.5" customHeight="1" x14ac:dyDescent="0.25">
      <c r="A28" s="4" t="s">
        <v>26</v>
      </c>
      <c r="B28" s="22">
        <v>55.2</v>
      </c>
      <c r="C28" s="22">
        <v>51.1</v>
      </c>
      <c r="D28" s="17">
        <v>15990253</v>
      </c>
      <c r="E28" s="17">
        <f t="shared" si="0"/>
        <v>817101928.30000007</v>
      </c>
      <c r="F28" s="25">
        <v>0.05</v>
      </c>
      <c r="G28" s="17">
        <f t="shared" si="1"/>
        <v>40855096.415000007</v>
      </c>
      <c r="H28" s="17">
        <f t="shared" si="2"/>
        <v>857957000</v>
      </c>
      <c r="I28" s="17">
        <f t="shared" si="3"/>
        <v>16342000</v>
      </c>
      <c r="J28" s="17"/>
      <c r="K28" s="17">
        <f t="shared" si="4"/>
        <v>874299000</v>
      </c>
      <c r="L28" s="5" t="s">
        <v>140</v>
      </c>
      <c r="M28" s="4" t="s">
        <v>7</v>
      </c>
      <c r="N28" s="4" t="s">
        <v>8</v>
      </c>
      <c r="O28" s="9" t="s">
        <v>121</v>
      </c>
    </row>
    <row r="29" spans="1:15" ht="22.5" customHeight="1" x14ac:dyDescent="0.25">
      <c r="A29" s="4" t="s">
        <v>27</v>
      </c>
      <c r="B29" s="22">
        <v>77.3</v>
      </c>
      <c r="C29" s="22">
        <v>71.5</v>
      </c>
      <c r="D29" s="17">
        <v>16310058</v>
      </c>
      <c r="E29" s="17">
        <f t="shared" si="0"/>
        <v>1166169147</v>
      </c>
      <c r="F29" s="25">
        <v>0.05</v>
      </c>
      <c r="G29" s="17">
        <f t="shared" si="1"/>
        <v>58308457.350000001</v>
      </c>
      <c r="H29" s="17">
        <f t="shared" si="2"/>
        <v>1224478000</v>
      </c>
      <c r="I29" s="17">
        <f t="shared" si="3"/>
        <v>23323000</v>
      </c>
      <c r="J29" s="17"/>
      <c r="K29" s="17">
        <f t="shared" si="4"/>
        <v>1247801000</v>
      </c>
      <c r="L29" s="5" t="s">
        <v>140</v>
      </c>
      <c r="M29" s="4" t="s">
        <v>8</v>
      </c>
      <c r="N29" s="4" t="s">
        <v>7</v>
      </c>
      <c r="O29" s="10" t="s">
        <v>120</v>
      </c>
    </row>
    <row r="30" spans="1:15" ht="22.5" customHeight="1" x14ac:dyDescent="0.25">
      <c r="A30" s="4" t="s">
        <v>28</v>
      </c>
      <c r="B30" s="22">
        <v>74.5</v>
      </c>
      <c r="C30" s="22">
        <v>70</v>
      </c>
      <c r="D30" s="17">
        <v>15990253</v>
      </c>
      <c r="E30" s="17">
        <f t="shared" si="0"/>
        <v>1119317710</v>
      </c>
      <c r="F30" s="25">
        <v>0.05</v>
      </c>
      <c r="G30" s="17">
        <f t="shared" si="1"/>
        <v>55965885.5</v>
      </c>
      <c r="H30" s="17">
        <f t="shared" si="2"/>
        <v>1175284000</v>
      </c>
      <c r="I30" s="17">
        <f t="shared" si="3"/>
        <v>22386000</v>
      </c>
      <c r="J30" s="17"/>
      <c r="K30" s="17">
        <f t="shared" si="4"/>
        <v>1197670000</v>
      </c>
      <c r="L30" s="5" t="s">
        <v>140</v>
      </c>
      <c r="M30" s="4" t="s">
        <v>8</v>
      </c>
      <c r="N30" s="4" t="s">
        <v>7</v>
      </c>
      <c r="O30" s="6" t="s">
        <v>120</v>
      </c>
    </row>
    <row r="31" spans="1:15" ht="22.5" customHeight="1" x14ac:dyDescent="0.25">
      <c r="A31" s="4" t="s">
        <v>29</v>
      </c>
      <c r="B31" s="22">
        <v>74.5</v>
      </c>
      <c r="C31" s="22">
        <v>70</v>
      </c>
      <c r="D31" s="17">
        <v>15990253</v>
      </c>
      <c r="E31" s="17">
        <f t="shared" si="0"/>
        <v>1119317710</v>
      </c>
      <c r="F31" s="25">
        <v>0.05</v>
      </c>
      <c r="G31" s="17">
        <f t="shared" si="1"/>
        <v>55965885.5</v>
      </c>
      <c r="H31" s="17">
        <f t="shared" si="2"/>
        <v>1175284000</v>
      </c>
      <c r="I31" s="17">
        <f t="shared" si="3"/>
        <v>22386000</v>
      </c>
      <c r="J31" s="17"/>
      <c r="K31" s="17">
        <f t="shared" si="4"/>
        <v>1197670000</v>
      </c>
      <c r="L31" s="5" t="s">
        <v>140</v>
      </c>
      <c r="M31" s="4" t="s">
        <v>8</v>
      </c>
      <c r="N31" s="4" t="s">
        <v>7</v>
      </c>
      <c r="O31" s="6" t="s">
        <v>120</v>
      </c>
    </row>
    <row r="32" spans="1:15" ht="22.5" customHeight="1" x14ac:dyDescent="0.25">
      <c r="A32" s="4" t="s">
        <v>30</v>
      </c>
      <c r="B32" s="22">
        <v>74.5</v>
      </c>
      <c r="C32" s="22">
        <v>70</v>
      </c>
      <c r="D32" s="17">
        <v>15670448</v>
      </c>
      <c r="E32" s="17">
        <f t="shared" si="0"/>
        <v>1096931360</v>
      </c>
      <c r="F32" s="25">
        <v>0.05</v>
      </c>
      <c r="G32" s="17">
        <f t="shared" si="1"/>
        <v>54846568</v>
      </c>
      <c r="H32" s="17">
        <f t="shared" si="2"/>
        <v>1151778000</v>
      </c>
      <c r="I32" s="17">
        <f t="shared" si="3"/>
        <v>21939000</v>
      </c>
      <c r="J32" s="17"/>
      <c r="K32" s="17">
        <f t="shared" si="4"/>
        <v>1173717000</v>
      </c>
      <c r="L32" s="5" t="s">
        <v>140</v>
      </c>
      <c r="M32" s="4" t="s">
        <v>8</v>
      </c>
      <c r="N32" s="4" t="s">
        <v>7</v>
      </c>
      <c r="O32" s="6" t="s">
        <v>120</v>
      </c>
    </row>
    <row r="33" spans="1:15" ht="22.5" customHeight="1" x14ac:dyDescent="0.25">
      <c r="A33" s="4" t="s">
        <v>31</v>
      </c>
      <c r="B33" s="22">
        <v>74.5</v>
      </c>
      <c r="C33" s="22">
        <v>70</v>
      </c>
      <c r="D33" s="17">
        <v>15990253</v>
      </c>
      <c r="E33" s="17">
        <f t="shared" si="0"/>
        <v>1119317710</v>
      </c>
      <c r="F33" s="25">
        <v>0.05</v>
      </c>
      <c r="G33" s="17">
        <f t="shared" si="1"/>
        <v>55965885.5</v>
      </c>
      <c r="H33" s="17">
        <f t="shared" si="2"/>
        <v>1175284000</v>
      </c>
      <c r="I33" s="17">
        <f t="shared" si="3"/>
        <v>22386000</v>
      </c>
      <c r="J33" s="17"/>
      <c r="K33" s="17">
        <f t="shared" si="4"/>
        <v>1197670000</v>
      </c>
      <c r="L33" s="5" t="s">
        <v>140</v>
      </c>
      <c r="M33" s="4" t="s">
        <v>8</v>
      </c>
      <c r="N33" s="4" t="s">
        <v>7</v>
      </c>
      <c r="O33" s="6" t="s">
        <v>120</v>
      </c>
    </row>
    <row r="34" spans="1:15" ht="22.5" customHeight="1" x14ac:dyDescent="0.25">
      <c r="A34" s="4" t="s">
        <v>32</v>
      </c>
      <c r="B34" s="22">
        <v>74.5</v>
      </c>
      <c r="C34" s="22">
        <v>70</v>
      </c>
      <c r="D34" s="17">
        <v>15990253</v>
      </c>
      <c r="E34" s="17">
        <f t="shared" si="0"/>
        <v>1119317710</v>
      </c>
      <c r="F34" s="25">
        <v>0.05</v>
      </c>
      <c r="G34" s="17">
        <f t="shared" si="1"/>
        <v>55965885.5</v>
      </c>
      <c r="H34" s="17">
        <f t="shared" si="2"/>
        <v>1175284000</v>
      </c>
      <c r="I34" s="17">
        <f t="shared" si="3"/>
        <v>22386000</v>
      </c>
      <c r="J34" s="17"/>
      <c r="K34" s="17">
        <f t="shared" si="4"/>
        <v>1197670000</v>
      </c>
      <c r="L34" s="5" t="s">
        <v>140</v>
      </c>
      <c r="M34" s="4" t="s">
        <v>8</v>
      </c>
      <c r="N34" s="4" t="s">
        <v>7</v>
      </c>
      <c r="O34" s="6" t="s">
        <v>120</v>
      </c>
    </row>
    <row r="35" spans="1:15" ht="22.5" customHeight="1" x14ac:dyDescent="0.25">
      <c r="A35" s="4" t="s">
        <v>33</v>
      </c>
      <c r="B35" s="22">
        <v>75.7</v>
      </c>
      <c r="C35" s="22">
        <v>70</v>
      </c>
      <c r="D35" s="17">
        <v>16310058</v>
      </c>
      <c r="E35" s="17">
        <f t="shared" si="0"/>
        <v>1141704060</v>
      </c>
      <c r="F35" s="25">
        <v>0.05</v>
      </c>
      <c r="G35" s="17">
        <f t="shared" si="1"/>
        <v>57085203</v>
      </c>
      <c r="H35" s="17">
        <f t="shared" si="2"/>
        <v>1198789000</v>
      </c>
      <c r="I35" s="17">
        <f t="shared" si="3"/>
        <v>22834000</v>
      </c>
      <c r="J35" s="17"/>
      <c r="K35" s="17">
        <f t="shared" si="4"/>
        <v>1221623000</v>
      </c>
      <c r="L35" s="5" t="s">
        <v>140</v>
      </c>
      <c r="M35" s="4" t="s">
        <v>8</v>
      </c>
      <c r="N35" s="4" t="s">
        <v>7</v>
      </c>
      <c r="O35" s="6" t="s">
        <v>120</v>
      </c>
    </row>
    <row r="36" spans="1:15" ht="22.5" customHeight="1" x14ac:dyDescent="0.25">
      <c r="A36" s="4" t="s">
        <v>34</v>
      </c>
      <c r="B36" s="22">
        <v>77.3</v>
      </c>
      <c r="C36" s="22">
        <v>71</v>
      </c>
      <c r="D36" s="17">
        <v>16310058</v>
      </c>
      <c r="E36" s="17">
        <f t="shared" si="0"/>
        <v>1158014118</v>
      </c>
      <c r="F36" s="25">
        <v>0.05</v>
      </c>
      <c r="G36" s="17">
        <f t="shared" si="1"/>
        <v>57900705.900000006</v>
      </c>
      <c r="H36" s="17">
        <f t="shared" si="2"/>
        <v>1215915000</v>
      </c>
      <c r="I36" s="17">
        <f t="shared" si="3"/>
        <v>23160000</v>
      </c>
      <c r="J36" s="17"/>
      <c r="K36" s="17">
        <f t="shared" si="4"/>
        <v>1239075000</v>
      </c>
      <c r="L36" s="5" t="s">
        <v>140</v>
      </c>
      <c r="M36" s="4" t="s">
        <v>7</v>
      </c>
      <c r="N36" s="4" t="s">
        <v>8</v>
      </c>
      <c r="O36" s="6" t="s">
        <v>120</v>
      </c>
    </row>
    <row r="37" spans="1:15" ht="22.5" customHeight="1" x14ac:dyDescent="0.25">
      <c r="A37" s="4" t="s">
        <v>35</v>
      </c>
      <c r="B37" s="22">
        <v>74.5</v>
      </c>
      <c r="C37" s="22">
        <v>69.5</v>
      </c>
      <c r="D37" s="17">
        <v>15990253</v>
      </c>
      <c r="E37" s="17">
        <f t="shared" si="0"/>
        <v>1111322583.5</v>
      </c>
      <c r="F37" s="25">
        <v>0.05</v>
      </c>
      <c r="G37" s="17">
        <f t="shared" si="1"/>
        <v>55566129.175000004</v>
      </c>
      <c r="H37" s="17">
        <f t="shared" si="2"/>
        <v>1166889000</v>
      </c>
      <c r="I37" s="17">
        <f t="shared" si="3"/>
        <v>22226000</v>
      </c>
      <c r="J37" s="17"/>
      <c r="K37" s="17">
        <f t="shared" si="4"/>
        <v>1189115000</v>
      </c>
      <c r="L37" s="5" t="s">
        <v>140</v>
      </c>
      <c r="M37" s="4" t="s">
        <v>7</v>
      </c>
      <c r="N37" s="4" t="s">
        <v>8</v>
      </c>
      <c r="O37" s="6" t="s">
        <v>120</v>
      </c>
    </row>
    <row r="38" spans="1:15" ht="22.5" customHeight="1" x14ac:dyDescent="0.25">
      <c r="A38" s="4" t="s">
        <v>36</v>
      </c>
      <c r="B38" s="22">
        <v>55.2</v>
      </c>
      <c r="C38" s="22">
        <v>51.1</v>
      </c>
      <c r="D38" s="17">
        <v>15670448</v>
      </c>
      <c r="E38" s="17">
        <f t="shared" si="0"/>
        <v>800759892.80000007</v>
      </c>
      <c r="F38" s="25">
        <v>0.05</v>
      </c>
      <c r="G38" s="17">
        <f t="shared" si="1"/>
        <v>40037994.640000008</v>
      </c>
      <c r="H38" s="17">
        <f t="shared" si="2"/>
        <v>840798000</v>
      </c>
      <c r="I38" s="17">
        <f t="shared" si="3"/>
        <v>16015000</v>
      </c>
      <c r="J38" s="17"/>
      <c r="K38" s="17">
        <f t="shared" si="4"/>
        <v>856813000</v>
      </c>
      <c r="L38" s="5" t="s">
        <v>140</v>
      </c>
      <c r="M38" s="4" t="s">
        <v>7</v>
      </c>
      <c r="N38" s="4" t="s">
        <v>8</v>
      </c>
      <c r="O38" s="8" t="s">
        <v>121</v>
      </c>
    </row>
    <row r="39" spans="1:15" ht="22.5" customHeight="1" x14ac:dyDescent="0.25">
      <c r="A39" s="4" t="s">
        <v>37</v>
      </c>
      <c r="B39" s="22">
        <v>74.5</v>
      </c>
      <c r="C39" s="22">
        <v>69.5</v>
      </c>
      <c r="D39" s="17">
        <v>15670448</v>
      </c>
      <c r="E39" s="17">
        <f t="shared" si="0"/>
        <v>1089096136</v>
      </c>
      <c r="F39" s="25">
        <v>0.05</v>
      </c>
      <c r="G39" s="17">
        <f t="shared" si="1"/>
        <v>54454806.800000004</v>
      </c>
      <c r="H39" s="17">
        <f t="shared" si="2"/>
        <v>1143551000</v>
      </c>
      <c r="I39" s="17">
        <f t="shared" si="3"/>
        <v>21782000</v>
      </c>
      <c r="J39" s="17"/>
      <c r="K39" s="17">
        <f t="shared" si="4"/>
        <v>1165333000</v>
      </c>
      <c r="L39" s="5" t="s">
        <v>140</v>
      </c>
      <c r="M39" s="4" t="s">
        <v>7</v>
      </c>
      <c r="N39" s="4" t="s">
        <v>8</v>
      </c>
      <c r="O39" s="6" t="s">
        <v>120</v>
      </c>
    </row>
    <row r="40" spans="1:15" ht="22.5" customHeight="1" x14ac:dyDescent="0.25">
      <c r="A40" s="4" t="s">
        <v>38</v>
      </c>
      <c r="B40" s="22">
        <v>74.5</v>
      </c>
      <c r="C40" s="22">
        <v>69.5</v>
      </c>
      <c r="D40" s="17">
        <v>15990253</v>
      </c>
      <c r="E40" s="17">
        <f t="shared" si="0"/>
        <v>1111322583.5</v>
      </c>
      <c r="F40" s="25">
        <v>0.05</v>
      </c>
      <c r="G40" s="17">
        <f t="shared" si="1"/>
        <v>55566129.175000004</v>
      </c>
      <c r="H40" s="17">
        <f t="shared" si="2"/>
        <v>1166889000</v>
      </c>
      <c r="I40" s="17">
        <f t="shared" si="3"/>
        <v>22226000</v>
      </c>
      <c r="J40" s="17"/>
      <c r="K40" s="17">
        <f t="shared" si="4"/>
        <v>1189115000</v>
      </c>
      <c r="L40" s="5" t="s">
        <v>140</v>
      </c>
      <c r="M40" s="4" t="s">
        <v>7</v>
      </c>
      <c r="N40" s="4" t="s">
        <v>8</v>
      </c>
      <c r="O40" s="7" t="s">
        <v>120</v>
      </c>
    </row>
    <row r="41" spans="1:15" ht="22.5" customHeight="1" x14ac:dyDescent="0.25">
      <c r="A41" s="4" t="s">
        <v>39</v>
      </c>
      <c r="B41" s="22">
        <v>55.2</v>
      </c>
      <c r="C41" s="22">
        <v>51.1</v>
      </c>
      <c r="D41" s="17">
        <v>15990253</v>
      </c>
      <c r="E41" s="17">
        <f t="shared" si="0"/>
        <v>817101928.30000007</v>
      </c>
      <c r="F41" s="25">
        <v>0.05</v>
      </c>
      <c r="G41" s="17">
        <f t="shared" si="1"/>
        <v>40855096.415000007</v>
      </c>
      <c r="H41" s="17">
        <f t="shared" si="2"/>
        <v>857957000</v>
      </c>
      <c r="I41" s="17">
        <f t="shared" si="3"/>
        <v>16342000</v>
      </c>
      <c r="J41" s="17"/>
      <c r="K41" s="17">
        <f t="shared" si="4"/>
        <v>874299000</v>
      </c>
      <c r="L41" s="5" t="s">
        <v>140</v>
      </c>
      <c r="M41" s="4" t="s">
        <v>7</v>
      </c>
      <c r="N41" s="4" t="s">
        <v>8</v>
      </c>
      <c r="O41" s="8" t="s">
        <v>121</v>
      </c>
    </row>
    <row r="42" spans="1:15" ht="22.5" customHeight="1" x14ac:dyDescent="0.25">
      <c r="A42" s="4" t="s">
        <v>40</v>
      </c>
      <c r="B42" s="22">
        <v>77.3</v>
      </c>
      <c r="C42" s="22">
        <v>71.5</v>
      </c>
      <c r="D42" s="17">
        <v>16310058</v>
      </c>
      <c r="E42" s="17">
        <f t="shared" si="0"/>
        <v>1166169147</v>
      </c>
      <c r="F42" s="25">
        <v>0.05</v>
      </c>
      <c r="G42" s="17">
        <f t="shared" si="1"/>
        <v>58308457.350000001</v>
      </c>
      <c r="H42" s="17">
        <f t="shared" si="2"/>
        <v>1224478000</v>
      </c>
      <c r="I42" s="17">
        <f t="shared" si="3"/>
        <v>23323000</v>
      </c>
      <c r="J42" s="17"/>
      <c r="K42" s="17">
        <f t="shared" si="4"/>
        <v>1247801000</v>
      </c>
      <c r="L42" s="5" t="s">
        <v>140</v>
      </c>
      <c r="M42" s="4" t="s">
        <v>8</v>
      </c>
      <c r="N42" s="4" t="s">
        <v>7</v>
      </c>
      <c r="O42" s="6" t="s">
        <v>120</v>
      </c>
    </row>
    <row r="43" spans="1:15" ht="22.5" customHeight="1" x14ac:dyDescent="0.25">
      <c r="A43" s="4" t="s">
        <v>41</v>
      </c>
      <c r="B43" s="22">
        <v>74.5</v>
      </c>
      <c r="C43" s="22">
        <v>70</v>
      </c>
      <c r="D43" s="17">
        <v>15990253</v>
      </c>
      <c r="E43" s="17">
        <f t="shared" si="0"/>
        <v>1119317710</v>
      </c>
      <c r="F43" s="25">
        <v>0.05</v>
      </c>
      <c r="G43" s="17">
        <f t="shared" si="1"/>
        <v>55965885.5</v>
      </c>
      <c r="H43" s="17">
        <f t="shared" si="2"/>
        <v>1175284000</v>
      </c>
      <c r="I43" s="17">
        <f t="shared" si="3"/>
        <v>22386000</v>
      </c>
      <c r="J43" s="17"/>
      <c r="K43" s="17">
        <f t="shared" si="4"/>
        <v>1197670000</v>
      </c>
      <c r="L43" s="5" t="s">
        <v>140</v>
      </c>
      <c r="M43" s="4" t="s">
        <v>8</v>
      </c>
      <c r="N43" s="4" t="s">
        <v>7</v>
      </c>
      <c r="O43" s="6" t="s">
        <v>120</v>
      </c>
    </row>
    <row r="44" spans="1:15" ht="22.5" customHeight="1" x14ac:dyDescent="0.25">
      <c r="A44" s="4" t="s">
        <v>42</v>
      </c>
      <c r="B44" s="22">
        <v>74.5</v>
      </c>
      <c r="C44" s="22">
        <v>70</v>
      </c>
      <c r="D44" s="17">
        <v>15990253</v>
      </c>
      <c r="E44" s="17">
        <f t="shared" si="0"/>
        <v>1119317710</v>
      </c>
      <c r="F44" s="25">
        <v>0.05</v>
      </c>
      <c r="G44" s="17">
        <f t="shared" si="1"/>
        <v>55965885.5</v>
      </c>
      <c r="H44" s="17">
        <f t="shared" si="2"/>
        <v>1175284000</v>
      </c>
      <c r="I44" s="17">
        <f t="shared" si="3"/>
        <v>22386000</v>
      </c>
      <c r="J44" s="17"/>
      <c r="K44" s="17">
        <f t="shared" si="4"/>
        <v>1197670000</v>
      </c>
      <c r="L44" s="5" t="s">
        <v>140</v>
      </c>
      <c r="M44" s="4" t="s">
        <v>8</v>
      </c>
      <c r="N44" s="4" t="s">
        <v>7</v>
      </c>
      <c r="O44" s="6" t="s">
        <v>120</v>
      </c>
    </row>
    <row r="45" spans="1:15" ht="22.5" customHeight="1" x14ac:dyDescent="0.25">
      <c r="A45" s="4" t="s">
        <v>43</v>
      </c>
      <c r="B45" s="22">
        <v>74.5</v>
      </c>
      <c r="C45" s="22">
        <v>70</v>
      </c>
      <c r="D45" s="17">
        <v>15670448</v>
      </c>
      <c r="E45" s="17">
        <f t="shared" si="0"/>
        <v>1096931360</v>
      </c>
      <c r="F45" s="25">
        <v>0.05</v>
      </c>
      <c r="G45" s="17">
        <f t="shared" si="1"/>
        <v>54846568</v>
      </c>
      <c r="H45" s="17">
        <f t="shared" si="2"/>
        <v>1151778000</v>
      </c>
      <c r="I45" s="17">
        <f t="shared" si="3"/>
        <v>21939000</v>
      </c>
      <c r="J45" s="17"/>
      <c r="K45" s="17">
        <f t="shared" si="4"/>
        <v>1173717000</v>
      </c>
      <c r="L45" s="5" t="s">
        <v>140</v>
      </c>
      <c r="M45" s="4" t="s">
        <v>8</v>
      </c>
      <c r="N45" s="4" t="s">
        <v>7</v>
      </c>
      <c r="O45" s="6" t="s">
        <v>120</v>
      </c>
    </row>
    <row r="46" spans="1:15" ht="22.5" customHeight="1" x14ac:dyDescent="0.25">
      <c r="A46" s="4" t="s">
        <v>44</v>
      </c>
      <c r="B46" s="22">
        <v>74.5</v>
      </c>
      <c r="C46" s="22">
        <v>70</v>
      </c>
      <c r="D46" s="17">
        <v>15990253</v>
      </c>
      <c r="E46" s="17">
        <f t="shared" si="0"/>
        <v>1119317710</v>
      </c>
      <c r="F46" s="25">
        <v>0.05</v>
      </c>
      <c r="G46" s="17">
        <f t="shared" si="1"/>
        <v>55965885.5</v>
      </c>
      <c r="H46" s="17">
        <f t="shared" si="2"/>
        <v>1175284000</v>
      </c>
      <c r="I46" s="17">
        <f t="shared" si="3"/>
        <v>22386000</v>
      </c>
      <c r="J46" s="17"/>
      <c r="K46" s="17">
        <f t="shared" si="4"/>
        <v>1197670000</v>
      </c>
      <c r="L46" s="5" t="s">
        <v>140</v>
      </c>
      <c r="M46" s="4" t="s">
        <v>8</v>
      </c>
      <c r="N46" s="4" t="s">
        <v>7</v>
      </c>
      <c r="O46" s="6" t="s">
        <v>120</v>
      </c>
    </row>
    <row r="47" spans="1:15" ht="22.5" customHeight="1" x14ac:dyDescent="0.25">
      <c r="A47" s="4" t="s">
        <v>45</v>
      </c>
      <c r="B47" s="22">
        <v>74.5</v>
      </c>
      <c r="C47" s="22">
        <v>70</v>
      </c>
      <c r="D47" s="17">
        <v>15990253</v>
      </c>
      <c r="E47" s="17">
        <f t="shared" si="0"/>
        <v>1119317710</v>
      </c>
      <c r="F47" s="25">
        <v>0.05</v>
      </c>
      <c r="G47" s="17">
        <f t="shared" si="1"/>
        <v>55965885.5</v>
      </c>
      <c r="H47" s="17">
        <f t="shared" si="2"/>
        <v>1175284000</v>
      </c>
      <c r="I47" s="17">
        <f t="shared" si="3"/>
        <v>22386000</v>
      </c>
      <c r="J47" s="17"/>
      <c r="K47" s="17">
        <f t="shared" si="4"/>
        <v>1197670000</v>
      </c>
      <c r="L47" s="5" t="s">
        <v>140</v>
      </c>
      <c r="M47" s="4" t="s">
        <v>8</v>
      </c>
      <c r="N47" s="4" t="s">
        <v>7</v>
      </c>
      <c r="O47" s="6" t="s">
        <v>120</v>
      </c>
    </row>
    <row r="48" spans="1:15" ht="22.5" customHeight="1" x14ac:dyDescent="0.25">
      <c r="A48" s="4" t="s">
        <v>46</v>
      </c>
      <c r="B48" s="22">
        <v>75.7</v>
      </c>
      <c r="C48" s="22">
        <v>70</v>
      </c>
      <c r="D48" s="17">
        <v>16310058</v>
      </c>
      <c r="E48" s="17">
        <f t="shared" si="0"/>
        <v>1141704060</v>
      </c>
      <c r="F48" s="25">
        <v>0.05</v>
      </c>
      <c r="G48" s="17">
        <f t="shared" si="1"/>
        <v>57085203</v>
      </c>
      <c r="H48" s="17">
        <f t="shared" si="2"/>
        <v>1198789000</v>
      </c>
      <c r="I48" s="17">
        <f t="shared" si="3"/>
        <v>22834000</v>
      </c>
      <c r="J48" s="17"/>
      <c r="K48" s="17">
        <f t="shared" si="4"/>
        <v>1221623000</v>
      </c>
      <c r="L48" s="5" t="s">
        <v>140</v>
      </c>
      <c r="M48" s="4" t="s">
        <v>8</v>
      </c>
      <c r="N48" s="4" t="s">
        <v>7</v>
      </c>
      <c r="O48" s="6" t="s">
        <v>120</v>
      </c>
    </row>
    <row r="49" spans="1:15" ht="22.5" customHeight="1" x14ac:dyDescent="0.25">
      <c r="A49" s="4" t="s">
        <v>47</v>
      </c>
      <c r="B49" s="22">
        <v>77.3</v>
      </c>
      <c r="C49" s="22">
        <v>71</v>
      </c>
      <c r="D49" s="17">
        <v>16310058</v>
      </c>
      <c r="E49" s="17">
        <f t="shared" si="0"/>
        <v>1158014118</v>
      </c>
      <c r="F49" s="25">
        <v>0.05</v>
      </c>
      <c r="G49" s="17">
        <f t="shared" si="1"/>
        <v>57900705.900000006</v>
      </c>
      <c r="H49" s="17">
        <f t="shared" si="2"/>
        <v>1215915000</v>
      </c>
      <c r="I49" s="17">
        <f t="shared" si="3"/>
        <v>23160000</v>
      </c>
      <c r="J49" s="17"/>
      <c r="K49" s="17">
        <f t="shared" si="4"/>
        <v>1239075000</v>
      </c>
      <c r="L49" s="5" t="s">
        <v>140</v>
      </c>
      <c r="M49" s="4" t="s">
        <v>7</v>
      </c>
      <c r="N49" s="4" t="s">
        <v>8</v>
      </c>
      <c r="O49" s="8" t="s">
        <v>120</v>
      </c>
    </row>
    <row r="50" spans="1:15" ht="22.5" customHeight="1" x14ac:dyDescent="0.25">
      <c r="A50" s="4" t="s">
        <v>48</v>
      </c>
      <c r="B50" s="22">
        <v>74.5</v>
      </c>
      <c r="C50" s="22">
        <v>69.5</v>
      </c>
      <c r="D50" s="17">
        <v>15990253</v>
      </c>
      <c r="E50" s="17">
        <f t="shared" si="0"/>
        <v>1111322583.5</v>
      </c>
      <c r="F50" s="25">
        <v>0.05</v>
      </c>
      <c r="G50" s="17">
        <f t="shared" si="1"/>
        <v>55566129.175000004</v>
      </c>
      <c r="H50" s="17">
        <f t="shared" si="2"/>
        <v>1166889000</v>
      </c>
      <c r="I50" s="17">
        <f t="shared" si="3"/>
        <v>22226000</v>
      </c>
      <c r="J50" s="17"/>
      <c r="K50" s="17">
        <f t="shared" si="4"/>
        <v>1189115000</v>
      </c>
      <c r="L50" s="5" t="s">
        <v>140</v>
      </c>
      <c r="M50" s="4" t="s">
        <v>7</v>
      </c>
      <c r="N50" s="4" t="s">
        <v>8</v>
      </c>
      <c r="O50" s="6" t="s">
        <v>120</v>
      </c>
    </row>
    <row r="51" spans="1:15" ht="22.5" customHeight="1" x14ac:dyDescent="0.25">
      <c r="A51" s="4" t="s">
        <v>49</v>
      </c>
      <c r="B51" s="22">
        <v>55.2</v>
      </c>
      <c r="C51" s="22">
        <v>51.1</v>
      </c>
      <c r="D51" s="17">
        <v>15670448</v>
      </c>
      <c r="E51" s="17">
        <f t="shared" si="0"/>
        <v>800759892.80000007</v>
      </c>
      <c r="F51" s="25">
        <v>0.05</v>
      </c>
      <c r="G51" s="17">
        <f t="shared" si="1"/>
        <v>40037994.640000008</v>
      </c>
      <c r="H51" s="17">
        <f t="shared" si="2"/>
        <v>840798000</v>
      </c>
      <c r="I51" s="17">
        <f t="shared" si="3"/>
        <v>16015000</v>
      </c>
      <c r="J51" s="17"/>
      <c r="K51" s="17">
        <f t="shared" si="4"/>
        <v>856813000</v>
      </c>
      <c r="L51" s="5" t="s">
        <v>140</v>
      </c>
      <c r="M51" s="4" t="s">
        <v>7</v>
      </c>
      <c r="N51" s="4" t="s">
        <v>8</v>
      </c>
      <c r="O51" s="8" t="s">
        <v>121</v>
      </c>
    </row>
    <row r="52" spans="1:15" ht="22.5" customHeight="1" x14ac:dyDescent="0.25">
      <c r="A52" s="4" t="s">
        <v>50</v>
      </c>
      <c r="B52" s="22">
        <v>74.5</v>
      </c>
      <c r="C52" s="22">
        <v>69.5</v>
      </c>
      <c r="D52" s="17">
        <v>15670448</v>
      </c>
      <c r="E52" s="17">
        <f t="shared" si="0"/>
        <v>1089096136</v>
      </c>
      <c r="F52" s="25">
        <v>0.05</v>
      </c>
      <c r="G52" s="17">
        <f t="shared" si="1"/>
        <v>54454806.800000004</v>
      </c>
      <c r="H52" s="17">
        <f t="shared" si="2"/>
        <v>1143551000</v>
      </c>
      <c r="I52" s="17">
        <f t="shared" si="3"/>
        <v>21782000</v>
      </c>
      <c r="J52" s="17"/>
      <c r="K52" s="17">
        <f t="shared" si="4"/>
        <v>1165333000</v>
      </c>
      <c r="L52" s="5" t="s">
        <v>140</v>
      </c>
      <c r="M52" s="4" t="s">
        <v>7</v>
      </c>
      <c r="N52" s="4" t="s">
        <v>8</v>
      </c>
      <c r="O52" s="6" t="s">
        <v>120</v>
      </c>
    </row>
    <row r="53" spans="1:15" ht="22.5" customHeight="1" x14ac:dyDescent="0.25">
      <c r="A53" s="4" t="s">
        <v>51</v>
      </c>
      <c r="B53" s="22">
        <v>74.5</v>
      </c>
      <c r="C53" s="22">
        <v>69.5</v>
      </c>
      <c r="D53" s="17">
        <v>15990253</v>
      </c>
      <c r="E53" s="17">
        <f t="shared" si="0"/>
        <v>1111322583.5</v>
      </c>
      <c r="F53" s="25">
        <v>0.05</v>
      </c>
      <c r="G53" s="17">
        <f t="shared" si="1"/>
        <v>55566129.175000004</v>
      </c>
      <c r="H53" s="17">
        <f t="shared" si="2"/>
        <v>1166889000</v>
      </c>
      <c r="I53" s="17">
        <f t="shared" si="3"/>
        <v>22226000</v>
      </c>
      <c r="J53" s="17"/>
      <c r="K53" s="17">
        <f t="shared" si="4"/>
        <v>1189115000</v>
      </c>
      <c r="L53" s="5" t="s">
        <v>140</v>
      </c>
      <c r="M53" s="4" t="s">
        <v>7</v>
      </c>
      <c r="N53" s="4" t="s">
        <v>8</v>
      </c>
      <c r="O53" s="6" t="s">
        <v>120</v>
      </c>
    </row>
    <row r="54" spans="1:15" ht="22.5" customHeight="1" x14ac:dyDescent="0.25">
      <c r="A54" s="4" t="s">
        <v>52</v>
      </c>
      <c r="B54" s="22">
        <v>55.2</v>
      </c>
      <c r="C54" s="22">
        <v>51.1</v>
      </c>
      <c r="D54" s="17">
        <v>15990253</v>
      </c>
      <c r="E54" s="17">
        <f t="shared" si="0"/>
        <v>817101928.30000007</v>
      </c>
      <c r="F54" s="25">
        <v>0.05</v>
      </c>
      <c r="G54" s="17">
        <f t="shared" si="1"/>
        <v>40855096.415000007</v>
      </c>
      <c r="H54" s="17">
        <f t="shared" si="2"/>
        <v>857957000</v>
      </c>
      <c r="I54" s="17">
        <f t="shared" si="3"/>
        <v>16342000</v>
      </c>
      <c r="J54" s="17"/>
      <c r="K54" s="17">
        <f t="shared" si="4"/>
        <v>874299000</v>
      </c>
      <c r="L54" s="5" t="s">
        <v>140</v>
      </c>
      <c r="M54" s="4" t="s">
        <v>7</v>
      </c>
      <c r="N54" s="4" t="s">
        <v>8</v>
      </c>
      <c r="O54" s="8" t="s">
        <v>121</v>
      </c>
    </row>
    <row r="55" spans="1:15" ht="22.5" customHeight="1" x14ac:dyDescent="0.25">
      <c r="A55" s="4" t="s">
        <v>53</v>
      </c>
      <c r="B55" s="22">
        <v>77.3</v>
      </c>
      <c r="C55" s="22">
        <v>71.5</v>
      </c>
      <c r="D55" s="17">
        <v>16310058</v>
      </c>
      <c r="E55" s="17">
        <f t="shared" si="0"/>
        <v>1166169147</v>
      </c>
      <c r="F55" s="25">
        <v>0.05</v>
      </c>
      <c r="G55" s="17">
        <f t="shared" si="1"/>
        <v>58308457.350000001</v>
      </c>
      <c r="H55" s="17">
        <f t="shared" si="2"/>
        <v>1224478000</v>
      </c>
      <c r="I55" s="17">
        <f t="shared" si="3"/>
        <v>23323000</v>
      </c>
      <c r="J55" s="17"/>
      <c r="K55" s="17">
        <f t="shared" si="4"/>
        <v>1247801000</v>
      </c>
      <c r="L55" s="5" t="s">
        <v>140</v>
      </c>
      <c r="M55" s="4" t="s">
        <v>8</v>
      </c>
      <c r="N55" s="4" t="s">
        <v>7</v>
      </c>
      <c r="O55" s="6" t="s">
        <v>120</v>
      </c>
    </row>
    <row r="56" spans="1:15" ht="22.5" customHeight="1" x14ac:dyDescent="0.25">
      <c r="A56" s="4" t="s">
        <v>54</v>
      </c>
      <c r="B56" s="22">
        <v>74.5</v>
      </c>
      <c r="C56" s="22">
        <v>70</v>
      </c>
      <c r="D56" s="17">
        <v>15990253</v>
      </c>
      <c r="E56" s="17">
        <f t="shared" si="0"/>
        <v>1119317710</v>
      </c>
      <c r="F56" s="25">
        <v>0.05</v>
      </c>
      <c r="G56" s="17">
        <f t="shared" si="1"/>
        <v>55965885.5</v>
      </c>
      <c r="H56" s="17">
        <f t="shared" si="2"/>
        <v>1175284000</v>
      </c>
      <c r="I56" s="17">
        <f t="shared" si="3"/>
        <v>22386000</v>
      </c>
      <c r="J56" s="17"/>
      <c r="K56" s="17">
        <f t="shared" si="4"/>
        <v>1197670000</v>
      </c>
      <c r="L56" s="5" t="s">
        <v>140</v>
      </c>
      <c r="M56" s="4" t="s">
        <v>8</v>
      </c>
      <c r="N56" s="4" t="s">
        <v>7</v>
      </c>
      <c r="O56" s="6" t="s">
        <v>120</v>
      </c>
    </row>
    <row r="57" spans="1:15" ht="22.5" customHeight="1" x14ac:dyDescent="0.25">
      <c r="A57" s="4" t="s">
        <v>55</v>
      </c>
      <c r="B57" s="22">
        <v>74.5</v>
      </c>
      <c r="C57" s="22">
        <v>70</v>
      </c>
      <c r="D57" s="17">
        <v>15990253</v>
      </c>
      <c r="E57" s="17">
        <f t="shared" si="0"/>
        <v>1119317710</v>
      </c>
      <c r="F57" s="25">
        <v>0.05</v>
      </c>
      <c r="G57" s="17">
        <f t="shared" si="1"/>
        <v>55965885.5</v>
      </c>
      <c r="H57" s="17">
        <f t="shared" si="2"/>
        <v>1175284000</v>
      </c>
      <c r="I57" s="17">
        <f t="shared" si="3"/>
        <v>22386000</v>
      </c>
      <c r="J57" s="17"/>
      <c r="K57" s="17">
        <f t="shared" si="4"/>
        <v>1197670000</v>
      </c>
      <c r="L57" s="5" t="s">
        <v>140</v>
      </c>
      <c r="M57" s="4" t="s">
        <v>8</v>
      </c>
      <c r="N57" s="4" t="s">
        <v>7</v>
      </c>
      <c r="O57" s="6" t="s">
        <v>120</v>
      </c>
    </row>
    <row r="58" spans="1:15" ht="22.5" customHeight="1" x14ac:dyDescent="0.25">
      <c r="A58" s="4" t="s">
        <v>56</v>
      </c>
      <c r="B58" s="22">
        <v>74.5</v>
      </c>
      <c r="C58" s="22">
        <v>70</v>
      </c>
      <c r="D58" s="17">
        <v>15670448</v>
      </c>
      <c r="E58" s="17">
        <f t="shared" si="0"/>
        <v>1096931360</v>
      </c>
      <c r="F58" s="25">
        <v>0.05</v>
      </c>
      <c r="G58" s="17">
        <f t="shared" si="1"/>
        <v>54846568</v>
      </c>
      <c r="H58" s="17">
        <f t="shared" si="2"/>
        <v>1151778000</v>
      </c>
      <c r="I58" s="17">
        <f t="shared" si="3"/>
        <v>21939000</v>
      </c>
      <c r="J58" s="17"/>
      <c r="K58" s="17">
        <f t="shared" si="4"/>
        <v>1173717000</v>
      </c>
      <c r="L58" s="5" t="s">
        <v>140</v>
      </c>
      <c r="M58" s="4" t="s">
        <v>8</v>
      </c>
      <c r="N58" s="4" t="s">
        <v>7</v>
      </c>
      <c r="O58" s="11" t="s">
        <v>120</v>
      </c>
    </row>
    <row r="59" spans="1:15" ht="22.5" customHeight="1" x14ac:dyDescent="0.25">
      <c r="A59" s="4" t="s">
        <v>57</v>
      </c>
      <c r="B59" s="22">
        <v>74.5</v>
      </c>
      <c r="C59" s="22">
        <v>70</v>
      </c>
      <c r="D59" s="17">
        <v>15990253</v>
      </c>
      <c r="E59" s="17">
        <f t="shared" si="0"/>
        <v>1119317710</v>
      </c>
      <c r="F59" s="25">
        <v>0.05</v>
      </c>
      <c r="G59" s="17">
        <f t="shared" si="1"/>
        <v>55965885.5</v>
      </c>
      <c r="H59" s="17">
        <f t="shared" si="2"/>
        <v>1175284000</v>
      </c>
      <c r="I59" s="17">
        <f t="shared" si="3"/>
        <v>22386000</v>
      </c>
      <c r="J59" s="17"/>
      <c r="K59" s="17">
        <f t="shared" si="4"/>
        <v>1197670000</v>
      </c>
      <c r="L59" s="5" t="s">
        <v>140</v>
      </c>
      <c r="M59" s="4" t="s">
        <v>8</v>
      </c>
      <c r="N59" s="4" t="s">
        <v>7</v>
      </c>
      <c r="O59" s="6" t="s">
        <v>120</v>
      </c>
    </row>
    <row r="60" spans="1:15" ht="22.5" customHeight="1" x14ac:dyDescent="0.25">
      <c r="A60" s="4" t="s">
        <v>58</v>
      </c>
      <c r="B60" s="22">
        <v>74.5</v>
      </c>
      <c r="C60" s="22">
        <v>70</v>
      </c>
      <c r="D60" s="17">
        <v>15990253</v>
      </c>
      <c r="E60" s="17">
        <f t="shared" si="0"/>
        <v>1119317710</v>
      </c>
      <c r="F60" s="25">
        <v>0.05</v>
      </c>
      <c r="G60" s="17">
        <f t="shared" si="1"/>
        <v>55965885.5</v>
      </c>
      <c r="H60" s="17">
        <f t="shared" si="2"/>
        <v>1175284000</v>
      </c>
      <c r="I60" s="17">
        <f t="shared" si="3"/>
        <v>22386000</v>
      </c>
      <c r="J60" s="17"/>
      <c r="K60" s="17">
        <f t="shared" si="4"/>
        <v>1197670000</v>
      </c>
      <c r="L60" s="5" t="s">
        <v>140</v>
      </c>
      <c r="M60" s="4" t="s">
        <v>8</v>
      </c>
      <c r="N60" s="4" t="s">
        <v>7</v>
      </c>
      <c r="O60" s="6" t="s">
        <v>120</v>
      </c>
    </row>
    <row r="61" spans="1:15" ht="22.5" customHeight="1" x14ac:dyDescent="0.25">
      <c r="A61" s="4" t="s">
        <v>59</v>
      </c>
      <c r="B61" s="22">
        <v>75.7</v>
      </c>
      <c r="C61" s="22">
        <v>70</v>
      </c>
      <c r="D61" s="17">
        <v>16310058</v>
      </c>
      <c r="E61" s="17">
        <f t="shared" si="0"/>
        <v>1141704060</v>
      </c>
      <c r="F61" s="25">
        <v>0.05</v>
      </c>
      <c r="G61" s="17">
        <f t="shared" si="1"/>
        <v>57085203</v>
      </c>
      <c r="H61" s="17">
        <f t="shared" si="2"/>
        <v>1198789000</v>
      </c>
      <c r="I61" s="17">
        <f t="shared" si="3"/>
        <v>22834000</v>
      </c>
      <c r="J61" s="17"/>
      <c r="K61" s="17">
        <f t="shared" si="4"/>
        <v>1221623000</v>
      </c>
      <c r="L61" s="5" t="s">
        <v>140</v>
      </c>
      <c r="M61" s="4" t="s">
        <v>8</v>
      </c>
      <c r="N61" s="4" t="s">
        <v>7</v>
      </c>
      <c r="O61" s="6" t="s">
        <v>120</v>
      </c>
    </row>
    <row r="62" spans="1:15" ht="22.5" customHeight="1" x14ac:dyDescent="0.25">
      <c r="A62" s="4" t="s">
        <v>60</v>
      </c>
      <c r="B62" s="22">
        <v>77.3</v>
      </c>
      <c r="C62" s="22">
        <v>71</v>
      </c>
      <c r="D62" s="17">
        <v>16310058</v>
      </c>
      <c r="E62" s="17">
        <f t="shared" si="0"/>
        <v>1158014118</v>
      </c>
      <c r="F62" s="25">
        <v>0.05</v>
      </c>
      <c r="G62" s="17">
        <f t="shared" si="1"/>
        <v>57900705.900000006</v>
      </c>
      <c r="H62" s="17">
        <f t="shared" si="2"/>
        <v>1215915000</v>
      </c>
      <c r="I62" s="17">
        <f t="shared" si="3"/>
        <v>23160000</v>
      </c>
      <c r="J62" s="17"/>
      <c r="K62" s="17">
        <f t="shared" si="4"/>
        <v>1239075000</v>
      </c>
      <c r="L62" s="5" t="s">
        <v>140</v>
      </c>
      <c r="M62" s="4" t="s">
        <v>7</v>
      </c>
      <c r="N62" s="4" t="s">
        <v>8</v>
      </c>
      <c r="O62" s="8" t="s">
        <v>120</v>
      </c>
    </row>
    <row r="63" spans="1:15" ht="22.5" customHeight="1" x14ac:dyDescent="0.25">
      <c r="A63" s="4" t="s">
        <v>61</v>
      </c>
      <c r="B63" s="22">
        <v>74.5</v>
      </c>
      <c r="C63" s="22">
        <v>69.5</v>
      </c>
      <c r="D63" s="17">
        <v>15990253</v>
      </c>
      <c r="E63" s="17">
        <f t="shared" si="0"/>
        <v>1111322583.5</v>
      </c>
      <c r="F63" s="25">
        <v>0.05</v>
      </c>
      <c r="G63" s="17">
        <f t="shared" si="1"/>
        <v>55566129.175000004</v>
      </c>
      <c r="H63" s="17">
        <f t="shared" si="2"/>
        <v>1166889000</v>
      </c>
      <c r="I63" s="17">
        <f t="shared" si="3"/>
        <v>22226000</v>
      </c>
      <c r="J63" s="17"/>
      <c r="K63" s="17">
        <f t="shared" si="4"/>
        <v>1189115000</v>
      </c>
      <c r="L63" s="5" t="s">
        <v>140</v>
      </c>
      <c r="M63" s="4" t="s">
        <v>7</v>
      </c>
      <c r="N63" s="4" t="s">
        <v>8</v>
      </c>
      <c r="O63" s="6" t="s">
        <v>120</v>
      </c>
    </row>
    <row r="64" spans="1:15" ht="22.5" customHeight="1" x14ac:dyDescent="0.25">
      <c r="A64" s="4" t="s">
        <v>62</v>
      </c>
      <c r="B64" s="22">
        <v>55.2</v>
      </c>
      <c r="C64" s="22">
        <v>51.1</v>
      </c>
      <c r="D64" s="17">
        <v>15670448</v>
      </c>
      <c r="E64" s="17">
        <f t="shared" si="0"/>
        <v>800759892.80000007</v>
      </c>
      <c r="F64" s="25">
        <v>0.05</v>
      </c>
      <c r="G64" s="17">
        <f t="shared" si="1"/>
        <v>40037994.640000008</v>
      </c>
      <c r="H64" s="17">
        <f t="shared" si="2"/>
        <v>840798000</v>
      </c>
      <c r="I64" s="17">
        <f t="shared" si="3"/>
        <v>16015000</v>
      </c>
      <c r="J64" s="17"/>
      <c r="K64" s="17">
        <f t="shared" si="4"/>
        <v>856813000</v>
      </c>
      <c r="L64" s="5" t="s">
        <v>140</v>
      </c>
      <c r="M64" s="4" t="s">
        <v>7</v>
      </c>
      <c r="N64" s="4" t="s">
        <v>8</v>
      </c>
      <c r="O64" s="8" t="s">
        <v>121</v>
      </c>
    </row>
    <row r="65" spans="1:15" ht="22.5" customHeight="1" x14ac:dyDescent="0.25">
      <c r="A65" s="4" t="s">
        <v>63</v>
      </c>
      <c r="B65" s="22">
        <v>74.5</v>
      </c>
      <c r="C65" s="22">
        <v>69.5</v>
      </c>
      <c r="D65" s="17">
        <v>15670448</v>
      </c>
      <c r="E65" s="17">
        <f t="shared" si="0"/>
        <v>1089096136</v>
      </c>
      <c r="F65" s="25">
        <v>0.05</v>
      </c>
      <c r="G65" s="17">
        <f t="shared" si="1"/>
        <v>54454806.800000004</v>
      </c>
      <c r="H65" s="17">
        <f t="shared" si="2"/>
        <v>1143551000</v>
      </c>
      <c r="I65" s="17">
        <f t="shared" si="3"/>
        <v>21782000</v>
      </c>
      <c r="J65" s="17"/>
      <c r="K65" s="17">
        <f t="shared" si="4"/>
        <v>1165333000</v>
      </c>
      <c r="L65" s="5" t="s">
        <v>140</v>
      </c>
      <c r="M65" s="4" t="s">
        <v>7</v>
      </c>
      <c r="N65" s="4" t="s">
        <v>8</v>
      </c>
      <c r="O65" s="6" t="s">
        <v>120</v>
      </c>
    </row>
    <row r="66" spans="1:15" ht="22.5" customHeight="1" x14ac:dyDescent="0.25">
      <c r="A66" s="4" t="s">
        <v>64</v>
      </c>
      <c r="B66" s="22">
        <v>74.5</v>
      </c>
      <c r="C66" s="22">
        <v>69.5</v>
      </c>
      <c r="D66" s="17">
        <v>15990253</v>
      </c>
      <c r="E66" s="17">
        <f t="shared" si="0"/>
        <v>1111322583.5</v>
      </c>
      <c r="F66" s="25">
        <v>0.05</v>
      </c>
      <c r="G66" s="17">
        <f t="shared" si="1"/>
        <v>55566129.175000004</v>
      </c>
      <c r="H66" s="17">
        <f t="shared" si="2"/>
        <v>1166889000</v>
      </c>
      <c r="I66" s="17">
        <f t="shared" si="3"/>
        <v>22226000</v>
      </c>
      <c r="J66" s="17"/>
      <c r="K66" s="17">
        <f t="shared" si="4"/>
        <v>1189115000</v>
      </c>
      <c r="L66" s="5" t="s">
        <v>140</v>
      </c>
      <c r="M66" s="4" t="s">
        <v>7</v>
      </c>
      <c r="N66" s="4" t="s">
        <v>8</v>
      </c>
      <c r="O66" s="6" t="s">
        <v>120</v>
      </c>
    </row>
    <row r="67" spans="1:15" ht="22.5" customHeight="1" x14ac:dyDescent="0.25">
      <c r="A67" s="4" t="s">
        <v>65</v>
      </c>
      <c r="B67" s="22">
        <v>55.2</v>
      </c>
      <c r="C67" s="22">
        <v>51.1</v>
      </c>
      <c r="D67" s="17">
        <v>15990253</v>
      </c>
      <c r="E67" s="17">
        <f t="shared" ref="E67:E113" si="5">+D67*C67</f>
        <v>817101928.30000007</v>
      </c>
      <c r="F67" s="25">
        <v>0.05</v>
      </c>
      <c r="G67" s="17">
        <f t="shared" ref="G67:G113" si="6">+E67*F67</f>
        <v>40855096.415000007</v>
      </c>
      <c r="H67" s="17">
        <f t="shared" ref="H67:H113" si="7">ROUND(G67+E67,-3)</f>
        <v>857957000</v>
      </c>
      <c r="I67" s="17">
        <f t="shared" ref="I67:I113" si="8">+ROUND(E67*0.02,-3)</f>
        <v>16342000</v>
      </c>
      <c r="J67" s="17"/>
      <c r="K67" s="17">
        <f t="shared" ref="K67:K113" si="9">+H67+I67+J67</f>
        <v>874299000</v>
      </c>
      <c r="L67" s="5" t="s">
        <v>140</v>
      </c>
      <c r="M67" s="4" t="s">
        <v>7</v>
      </c>
      <c r="N67" s="4" t="s">
        <v>8</v>
      </c>
      <c r="O67" s="8" t="s">
        <v>121</v>
      </c>
    </row>
    <row r="68" spans="1:15" ht="22.5" customHeight="1" x14ac:dyDescent="0.25">
      <c r="A68" s="4" t="s">
        <v>66</v>
      </c>
      <c r="B68" s="22">
        <v>77.3</v>
      </c>
      <c r="C68" s="22">
        <v>71.5</v>
      </c>
      <c r="D68" s="17">
        <v>16310058</v>
      </c>
      <c r="E68" s="17">
        <f t="shared" si="5"/>
        <v>1166169147</v>
      </c>
      <c r="F68" s="25">
        <v>0.05</v>
      </c>
      <c r="G68" s="17">
        <f t="shared" si="6"/>
        <v>58308457.350000001</v>
      </c>
      <c r="H68" s="17">
        <f t="shared" si="7"/>
        <v>1224478000</v>
      </c>
      <c r="I68" s="17">
        <f t="shared" si="8"/>
        <v>23323000</v>
      </c>
      <c r="J68" s="17"/>
      <c r="K68" s="17">
        <f t="shared" si="9"/>
        <v>1247801000</v>
      </c>
      <c r="L68" s="5" t="s">
        <v>140</v>
      </c>
      <c r="M68" s="4" t="s">
        <v>8</v>
      </c>
      <c r="N68" s="4" t="s">
        <v>7</v>
      </c>
      <c r="O68" s="6" t="s">
        <v>120</v>
      </c>
    </row>
    <row r="69" spans="1:15" ht="22.5" customHeight="1" x14ac:dyDescent="0.25">
      <c r="A69" s="4" t="s">
        <v>67</v>
      </c>
      <c r="B69" s="22">
        <v>74.5</v>
      </c>
      <c r="C69" s="22">
        <v>70</v>
      </c>
      <c r="D69" s="17">
        <v>15990253</v>
      </c>
      <c r="E69" s="17">
        <f t="shared" si="5"/>
        <v>1119317710</v>
      </c>
      <c r="F69" s="25">
        <v>0.05</v>
      </c>
      <c r="G69" s="17">
        <f t="shared" si="6"/>
        <v>55965885.5</v>
      </c>
      <c r="H69" s="17">
        <f t="shared" si="7"/>
        <v>1175284000</v>
      </c>
      <c r="I69" s="17">
        <f t="shared" si="8"/>
        <v>22386000</v>
      </c>
      <c r="J69" s="17"/>
      <c r="K69" s="17">
        <f t="shared" si="9"/>
        <v>1197670000</v>
      </c>
      <c r="L69" s="5" t="s">
        <v>140</v>
      </c>
      <c r="M69" s="4" t="s">
        <v>8</v>
      </c>
      <c r="N69" s="4" t="s">
        <v>7</v>
      </c>
      <c r="O69" s="6" t="s">
        <v>120</v>
      </c>
    </row>
    <row r="70" spans="1:15" ht="22.5" customHeight="1" x14ac:dyDescent="0.25">
      <c r="A70" s="4" t="s">
        <v>68</v>
      </c>
      <c r="B70" s="22">
        <v>74.5</v>
      </c>
      <c r="C70" s="22">
        <v>70</v>
      </c>
      <c r="D70" s="17">
        <v>15990253</v>
      </c>
      <c r="E70" s="17">
        <f t="shared" si="5"/>
        <v>1119317710</v>
      </c>
      <c r="F70" s="25">
        <v>0.05</v>
      </c>
      <c r="G70" s="17">
        <f t="shared" si="6"/>
        <v>55965885.5</v>
      </c>
      <c r="H70" s="17">
        <f t="shared" si="7"/>
        <v>1175284000</v>
      </c>
      <c r="I70" s="17">
        <f t="shared" si="8"/>
        <v>22386000</v>
      </c>
      <c r="J70" s="17"/>
      <c r="K70" s="17">
        <f t="shared" si="9"/>
        <v>1197670000</v>
      </c>
      <c r="L70" s="5" t="s">
        <v>140</v>
      </c>
      <c r="M70" s="4" t="s">
        <v>8</v>
      </c>
      <c r="N70" s="4" t="s">
        <v>7</v>
      </c>
      <c r="O70" s="6" t="s">
        <v>120</v>
      </c>
    </row>
    <row r="71" spans="1:15" ht="22.5" customHeight="1" x14ac:dyDescent="0.25">
      <c r="A71" s="4" t="s">
        <v>69</v>
      </c>
      <c r="B71" s="22">
        <v>74.5</v>
      </c>
      <c r="C71" s="22">
        <v>70</v>
      </c>
      <c r="D71" s="17">
        <v>15670448</v>
      </c>
      <c r="E71" s="17">
        <f t="shared" si="5"/>
        <v>1096931360</v>
      </c>
      <c r="F71" s="25">
        <v>0.05</v>
      </c>
      <c r="G71" s="17">
        <f t="shared" si="6"/>
        <v>54846568</v>
      </c>
      <c r="H71" s="17">
        <f t="shared" si="7"/>
        <v>1151778000</v>
      </c>
      <c r="I71" s="17">
        <f t="shared" si="8"/>
        <v>21939000</v>
      </c>
      <c r="J71" s="17"/>
      <c r="K71" s="17">
        <f t="shared" si="9"/>
        <v>1173717000</v>
      </c>
      <c r="L71" s="5" t="s">
        <v>140</v>
      </c>
      <c r="M71" s="4" t="s">
        <v>8</v>
      </c>
      <c r="N71" s="4" t="s">
        <v>7</v>
      </c>
      <c r="O71" s="6" t="s">
        <v>120</v>
      </c>
    </row>
    <row r="72" spans="1:15" ht="22.5" customHeight="1" x14ac:dyDescent="0.25">
      <c r="A72" s="4" t="s">
        <v>70</v>
      </c>
      <c r="B72" s="22">
        <v>74.5</v>
      </c>
      <c r="C72" s="22">
        <v>70</v>
      </c>
      <c r="D72" s="17">
        <v>15990253</v>
      </c>
      <c r="E72" s="17">
        <f t="shared" si="5"/>
        <v>1119317710</v>
      </c>
      <c r="F72" s="25">
        <v>0.05</v>
      </c>
      <c r="G72" s="17">
        <f t="shared" si="6"/>
        <v>55965885.5</v>
      </c>
      <c r="H72" s="17">
        <f t="shared" si="7"/>
        <v>1175284000</v>
      </c>
      <c r="I72" s="17">
        <f t="shared" si="8"/>
        <v>22386000</v>
      </c>
      <c r="J72" s="17"/>
      <c r="K72" s="17">
        <f t="shared" si="9"/>
        <v>1197670000</v>
      </c>
      <c r="L72" s="5" t="s">
        <v>140</v>
      </c>
      <c r="M72" s="4" t="s">
        <v>8</v>
      </c>
      <c r="N72" s="4" t="s">
        <v>7</v>
      </c>
      <c r="O72" s="6" t="s">
        <v>120</v>
      </c>
    </row>
    <row r="73" spans="1:15" ht="22.5" customHeight="1" x14ac:dyDescent="0.25">
      <c r="A73" s="4" t="s">
        <v>71</v>
      </c>
      <c r="B73" s="22">
        <v>74.5</v>
      </c>
      <c r="C73" s="22">
        <v>70</v>
      </c>
      <c r="D73" s="17">
        <v>15990253</v>
      </c>
      <c r="E73" s="17">
        <f t="shared" si="5"/>
        <v>1119317710</v>
      </c>
      <c r="F73" s="25">
        <v>0.05</v>
      </c>
      <c r="G73" s="17">
        <f t="shared" si="6"/>
        <v>55965885.5</v>
      </c>
      <c r="H73" s="17">
        <f t="shared" si="7"/>
        <v>1175284000</v>
      </c>
      <c r="I73" s="17">
        <f t="shared" si="8"/>
        <v>22386000</v>
      </c>
      <c r="J73" s="17"/>
      <c r="K73" s="17">
        <f t="shared" si="9"/>
        <v>1197670000</v>
      </c>
      <c r="L73" s="5" t="s">
        <v>140</v>
      </c>
      <c r="M73" s="4" t="s">
        <v>8</v>
      </c>
      <c r="N73" s="4" t="s">
        <v>7</v>
      </c>
      <c r="O73" s="6" t="s">
        <v>120</v>
      </c>
    </row>
    <row r="74" spans="1:15" ht="22.5" customHeight="1" x14ac:dyDescent="0.25">
      <c r="A74" s="4" t="s">
        <v>72</v>
      </c>
      <c r="B74" s="22">
        <v>75.7</v>
      </c>
      <c r="C74" s="22">
        <v>70</v>
      </c>
      <c r="D74" s="17">
        <v>16310058</v>
      </c>
      <c r="E74" s="17">
        <f t="shared" si="5"/>
        <v>1141704060</v>
      </c>
      <c r="F74" s="25">
        <v>0.05</v>
      </c>
      <c r="G74" s="17">
        <f t="shared" si="6"/>
        <v>57085203</v>
      </c>
      <c r="H74" s="17">
        <f t="shared" si="7"/>
        <v>1198789000</v>
      </c>
      <c r="I74" s="17">
        <f t="shared" si="8"/>
        <v>22834000</v>
      </c>
      <c r="J74" s="17"/>
      <c r="K74" s="17">
        <f t="shared" si="9"/>
        <v>1221623000</v>
      </c>
      <c r="L74" s="5" t="s">
        <v>140</v>
      </c>
      <c r="M74" s="4" t="s">
        <v>8</v>
      </c>
      <c r="N74" s="4" t="s">
        <v>7</v>
      </c>
      <c r="O74" s="6" t="s">
        <v>120</v>
      </c>
    </row>
    <row r="75" spans="1:15" ht="22.5" customHeight="1" x14ac:dyDescent="0.25">
      <c r="A75" s="4" t="s">
        <v>73</v>
      </c>
      <c r="B75" s="22">
        <v>77.3</v>
      </c>
      <c r="C75" s="22">
        <v>71</v>
      </c>
      <c r="D75" s="17">
        <v>16310058</v>
      </c>
      <c r="E75" s="17">
        <f t="shared" si="5"/>
        <v>1158014118</v>
      </c>
      <c r="F75" s="25">
        <v>0.05</v>
      </c>
      <c r="G75" s="17">
        <f t="shared" si="6"/>
        <v>57900705.900000006</v>
      </c>
      <c r="H75" s="17">
        <f t="shared" si="7"/>
        <v>1215915000</v>
      </c>
      <c r="I75" s="17">
        <f t="shared" si="8"/>
        <v>23160000</v>
      </c>
      <c r="J75" s="17"/>
      <c r="K75" s="17">
        <f t="shared" si="9"/>
        <v>1239075000</v>
      </c>
      <c r="L75" s="5" t="s">
        <v>140</v>
      </c>
      <c r="M75" s="4" t="s">
        <v>7</v>
      </c>
      <c r="N75" s="4" t="s">
        <v>8</v>
      </c>
      <c r="O75" s="7" t="s">
        <v>120</v>
      </c>
    </row>
    <row r="76" spans="1:15" ht="22.5" customHeight="1" x14ac:dyDescent="0.25">
      <c r="A76" s="4" t="s">
        <v>74</v>
      </c>
      <c r="B76" s="22">
        <v>74.5</v>
      </c>
      <c r="C76" s="22">
        <v>69.5</v>
      </c>
      <c r="D76" s="17">
        <v>15990253</v>
      </c>
      <c r="E76" s="17">
        <f t="shared" si="5"/>
        <v>1111322583.5</v>
      </c>
      <c r="F76" s="25">
        <v>0.05</v>
      </c>
      <c r="G76" s="17">
        <f t="shared" si="6"/>
        <v>55566129.175000004</v>
      </c>
      <c r="H76" s="17">
        <f t="shared" si="7"/>
        <v>1166889000</v>
      </c>
      <c r="I76" s="17">
        <f t="shared" si="8"/>
        <v>22226000</v>
      </c>
      <c r="J76" s="17"/>
      <c r="K76" s="17">
        <f t="shared" si="9"/>
        <v>1189115000</v>
      </c>
      <c r="L76" s="5" t="s">
        <v>140</v>
      </c>
      <c r="M76" s="4" t="s">
        <v>7</v>
      </c>
      <c r="N76" s="4" t="s">
        <v>8</v>
      </c>
      <c r="O76" s="7" t="s">
        <v>120</v>
      </c>
    </row>
    <row r="77" spans="1:15" ht="22.5" customHeight="1" x14ac:dyDescent="0.25">
      <c r="A77" s="4" t="s">
        <v>75</v>
      </c>
      <c r="B77" s="22">
        <v>55.2</v>
      </c>
      <c r="C77" s="22">
        <v>51.1</v>
      </c>
      <c r="D77" s="17">
        <v>15670448</v>
      </c>
      <c r="E77" s="17">
        <f t="shared" si="5"/>
        <v>800759892.80000007</v>
      </c>
      <c r="F77" s="25">
        <v>0.05</v>
      </c>
      <c r="G77" s="17">
        <f t="shared" si="6"/>
        <v>40037994.640000008</v>
      </c>
      <c r="H77" s="17">
        <f t="shared" si="7"/>
        <v>840798000</v>
      </c>
      <c r="I77" s="17">
        <f t="shared" si="8"/>
        <v>16015000</v>
      </c>
      <c r="J77" s="17"/>
      <c r="K77" s="17">
        <f t="shared" si="9"/>
        <v>856813000</v>
      </c>
      <c r="L77" s="5" t="s">
        <v>140</v>
      </c>
      <c r="M77" s="4" t="s">
        <v>7</v>
      </c>
      <c r="N77" s="4" t="s">
        <v>8</v>
      </c>
      <c r="O77" s="8" t="s">
        <v>121</v>
      </c>
    </row>
    <row r="78" spans="1:15" ht="22.5" customHeight="1" x14ac:dyDescent="0.25">
      <c r="A78" s="4" t="s">
        <v>76</v>
      </c>
      <c r="B78" s="22">
        <v>74.5</v>
      </c>
      <c r="C78" s="22">
        <v>69.5</v>
      </c>
      <c r="D78" s="17">
        <v>15670448</v>
      </c>
      <c r="E78" s="17">
        <f t="shared" si="5"/>
        <v>1089096136</v>
      </c>
      <c r="F78" s="25">
        <v>0.05</v>
      </c>
      <c r="G78" s="17">
        <f t="shared" si="6"/>
        <v>54454806.800000004</v>
      </c>
      <c r="H78" s="17">
        <f t="shared" si="7"/>
        <v>1143551000</v>
      </c>
      <c r="I78" s="17">
        <f t="shared" si="8"/>
        <v>21782000</v>
      </c>
      <c r="J78" s="17"/>
      <c r="K78" s="17">
        <f t="shared" si="9"/>
        <v>1165333000</v>
      </c>
      <c r="L78" s="5" t="s">
        <v>140</v>
      </c>
      <c r="M78" s="4" t="s">
        <v>7</v>
      </c>
      <c r="N78" s="4" t="s">
        <v>8</v>
      </c>
      <c r="O78" s="7" t="s">
        <v>120</v>
      </c>
    </row>
    <row r="79" spans="1:15" ht="22.5" customHeight="1" x14ac:dyDescent="0.25">
      <c r="A79" s="4" t="s">
        <v>77</v>
      </c>
      <c r="B79" s="22">
        <v>74.5</v>
      </c>
      <c r="C79" s="22">
        <v>69.5</v>
      </c>
      <c r="D79" s="17">
        <v>15990253</v>
      </c>
      <c r="E79" s="17">
        <f t="shared" si="5"/>
        <v>1111322583.5</v>
      </c>
      <c r="F79" s="25">
        <v>0.05</v>
      </c>
      <c r="G79" s="17">
        <f t="shared" si="6"/>
        <v>55566129.175000004</v>
      </c>
      <c r="H79" s="17">
        <f t="shared" si="7"/>
        <v>1166889000</v>
      </c>
      <c r="I79" s="17">
        <f t="shared" si="8"/>
        <v>22226000</v>
      </c>
      <c r="J79" s="17"/>
      <c r="K79" s="17">
        <f t="shared" si="9"/>
        <v>1189115000</v>
      </c>
      <c r="L79" s="5" t="s">
        <v>140</v>
      </c>
      <c r="M79" s="4" t="s">
        <v>7</v>
      </c>
      <c r="N79" s="4" t="s">
        <v>8</v>
      </c>
      <c r="O79" s="6" t="s">
        <v>120</v>
      </c>
    </row>
    <row r="80" spans="1:15" ht="22.5" customHeight="1" x14ac:dyDescent="0.25">
      <c r="A80" s="4" t="s">
        <v>78</v>
      </c>
      <c r="B80" s="22">
        <v>55.2</v>
      </c>
      <c r="C80" s="22">
        <v>51.1</v>
      </c>
      <c r="D80" s="17">
        <v>15990253</v>
      </c>
      <c r="E80" s="17">
        <f t="shared" si="5"/>
        <v>817101928.30000007</v>
      </c>
      <c r="F80" s="25">
        <v>0.05</v>
      </c>
      <c r="G80" s="17">
        <f t="shared" si="6"/>
        <v>40855096.415000007</v>
      </c>
      <c r="H80" s="17">
        <f t="shared" si="7"/>
        <v>857957000</v>
      </c>
      <c r="I80" s="17">
        <f t="shared" si="8"/>
        <v>16342000</v>
      </c>
      <c r="J80" s="17"/>
      <c r="K80" s="17">
        <f t="shared" si="9"/>
        <v>874299000</v>
      </c>
      <c r="L80" s="5" t="s">
        <v>140</v>
      </c>
      <c r="M80" s="4" t="s">
        <v>7</v>
      </c>
      <c r="N80" s="4" t="s">
        <v>8</v>
      </c>
      <c r="O80" s="8" t="s">
        <v>121</v>
      </c>
    </row>
    <row r="81" spans="1:15" ht="22.5" customHeight="1" x14ac:dyDescent="0.25">
      <c r="A81" s="4" t="s">
        <v>79</v>
      </c>
      <c r="B81" s="22">
        <v>77.3</v>
      </c>
      <c r="C81" s="22">
        <v>71.5</v>
      </c>
      <c r="D81" s="17">
        <v>16310058</v>
      </c>
      <c r="E81" s="17">
        <f t="shared" si="5"/>
        <v>1166169147</v>
      </c>
      <c r="F81" s="25">
        <v>0.05</v>
      </c>
      <c r="G81" s="17">
        <f t="shared" si="6"/>
        <v>58308457.350000001</v>
      </c>
      <c r="H81" s="17">
        <f t="shared" si="7"/>
        <v>1224478000</v>
      </c>
      <c r="I81" s="17">
        <f t="shared" si="8"/>
        <v>23323000</v>
      </c>
      <c r="J81" s="17"/>
      <c r="K81" s="17">
        <f t="shared" si="9"/>
        <v>1247801000</v>
      </c>
      <c r="L81" s="5" t="s">
        <v>140</v>
      </c>
      <c r="M81" s="4" t="s">
        <v>8</v>
      </c>
      <c r="N81" s="4" t="s">
        <v>7</v>
      </c>
      <c r="O81" s="6" t="s">
        <v>120</v>
      </c>
    </row>
    <row r="82" spans="1:15" ht="22.5" customHeight="1" x14ac:dyDescent="0.25">
      <c r="A82" s="4" t="s">
        <v>80</v>
      </c>
      <c r="B82" s="22">
        <v>74.5</v>
      </c>
      <c r="C82" s="22">
        <v>70</v>
      </c>
      <c r="D82" s="17">
        <v>15990253</v>
      </c>
      <c r="E82" s="17">
        <f t="shared" si="5"/>
        <v>1119317710</v>
      </c>
      <c r="F82" s="25">
        <v>0.05</v>
      </c>
      <c r="G82" s="17">
        <f t="shared" si="6"/>
        <v>55965885.5</v>
      </c>
      <c r="H82" s="17">
        <f t="shared" si="7"/>
        <v>1175284000</v>
      </c>
      <c r="I82" s="17">
        <f t="shared" si="8"/>
        <v>22386000</v>
      </c>
      <c r="J82" s="17"/>
      <c r="K82" s="17">
        <f t="shared" si="9"/>
        <v>1197670000</v>
      </c>
      <c r="L82" s="5" t="s">
        <v>140</v>
      </c>
      <c r="M82" s="4" t="s">
        <v>8</v>
      </c>
      <c r="N82" s="4" t="s">
        <v>7</v>
      </c>
      <c r="O82" s="12" t="s">
        <v>120</v>
      </c>
    </row>
    <row r="83" spans="1:15" ht="22.5" customHeight="1" x14ac:dyDescent="0.25">
      <c r="A83" s="4" t="s">
        <v>81</v>
      </c>
      <c r="B83" s="22">
        <v>74.5</v>
      </c>
      <c r="C83" s="22">
        <v>70</v>
      </c>
      <c r="D83" s="17">
        <v>15990253</v>
      </c>
      <c r="E83" s="17">
        <f t="shared" si="5"/>
        <v>1119317710</v>
      </c>
      <c r="F83" s="25">
        <v>0.05</v>
      </c>
      <c r="G83" s="17">
        <f t="shared" si="6"/>
        <v>55965885.5</v>
      </c>
      <c r="H83" s="17">
        <f t="shared" si="7"/>
        <v>1175284000</v>
      </c>
      <c r="I83" s="17">
        <f t="shared" si="8"/>
        <v>22386000</v>
      </c>
      <c r="J83" s="17"/>
      <c r="K83" s="17">
        <f t="shared" si="9"/>
        <v>1197670000</v>
      </c>
      <c r="L83" s="5" t="s">
        <v>140</v>
      </c>
      <c r="M83" s="4" t="s">
        <v>8</v>
      </c>
      <c r="N83" s="4" t="s">
        <v>7</v>
      </c>
      <c r="O83" s="12" t="s">
        <v>120</v>
      </c>
    </row>
    <row r="84" spans="1:15" ht="22.5" customHeight="1" x14ac:dyDescent="0.25">
      <c r="A84" s="4" t="s">
        <v>82</v>
      </c>
      <c r="B84" s="22">
        <v>74.5</v>
      </c>
      <c r="C84" s="22">
        <v>70</v>
      </c>
      <c r="D84" s="17">
        <v>15670448</v>
      </c>
      <c r="E84" s="17">
        <f t="shared" si="5"/>
        <v>1096931360</v>
      </c>
      <c r="F84" s="25">
        <v>0.05</v>
      </c>
      <c r="G84" s="17">
        <f t="shared" si="6"/>
        <v>54846568</v>
      </c>
      <c r="H84" s="17">
        <f t="shared" si="7"/>
        <v>1151778000</v>
      </c>
      <c r="I84" s="17">
        <f t="shared" si="8"/>
        <v>21939000</v>
      </c>
      <c r="J84" s="17"/>
      <c r="K84" s="17">
        <f t="shared" si="9"/>
        <v>1173717000</v>
      </c>
      <c r="L84" s="5" t="s">
        <v>140</v>
      </c>
      <c r="M84" s="4" t="s">
        <v>8</v>
      </c>
      <c r="N84" s="4" t="s">
        <v>7</v>
      </c>
      <c r="O84" s="12" t="s">
        <v>120</v>
      </c>
    </row>
    <row r="85" spans="1:15" ht="22.5" customHeight="1" x14ac:dyDescent="0.25">
      <c r="A85" s="4" t="s">
        <v>83</v>
      </c>
      <c r="B85" s="22">
        <v>74.5</v>
      </c>
      <c r="C85" s="22">
        <v>70</v>
      </c>
      <c r="D85" s="17">
        <v>15990253</v>
      </c>
      <c r="E85" s="17">
        <f t="shared" si="5"/>
        <v>1119317710</v>
      </c>
      <c r="F85" s="25">
        <v>0.05</v>
      </c>
      <c r="G85" s="17">
        <f t="shared" si="6"/>
        <v>55965885.5</v>
      </c>
      <c r="H85" s="17">
        <f t="shared" si="7"/>
        <v>1175284000</v>
      </c>
      <c r="I85" s="17">
        <f t="shared" si="8"/>
        <v>22386000</v>
      </c>
      <c r="J85" s="17"/>
      <c r="K85" s="17">
        <f t="shared" si="9"/>
        <v>1197670000</v>
      </c>
      <c r="L85" s="5" t="s">
        <v>140</v>
      </c>
      <c r="M85" s="4" t="s">
        <v>8</v>
      </c>
      <c r="N85" s="4" t="s">
        <v>7</v>
      </c>
      <c r="O85" s="12" t="s">
        <v>120</v>
      </c>
    </row>
    <row r="86" spans="1:15" ht="22.5" customHeight="1" x14ac:dyDescent="0.25">
      <c r="A86" s="4" t="s">
        <v>84</v>
      </c>
      <c r="B86" s="22">
        <v>74.5</v>
      </c>
      <c r="C86" s="22">
        <v>70</v>
      </c>
      <c r="D86" s="17">
        <v>15990253</v>
      </c>
      <c r="E86" s="17">
        <f t="shared" si="5"/>
        <v>1119317710</v>
      </c>
      <c r="F86" s="25">
        <v>0.05</v>
      </c>
      <c r="G86" s="17">
        <f t="shared" si="6"/>
        <v>55965885.5</v>
      </c>
      <c r="H86" s="17">
        <f t="shared" si="7"/>
        <v>1175284000</v>
      </c>
      <c r="I86" s="17">
        <f t="shared" si="8"/>
        <v>22386000</v>
      </c>
      <c r="J86" s="17"/>
      <c r="K86" s="17">
        <f t="shared" si="9"/>
        <v>1197670000</v>
      </c>
      <c r="L86" s="5" t="s">
        <v>140</v>
      </c>
      <c r="M86" s="4" t="s">
        <v>8</v>
      </c>
      <c r="N86" s="4" t="s">
        <v>7</v>
      </c>
      <c r="O86" s="12" t="s">
        <v>120</v>
      </c>
    </row>
    <row r="87" spans="1:15" ht="22.5" customHeight="1" x14ac:dyDescent="0.25">
      <c r="A87" s="4" t="s">
        <v>85</v>
      </c>
      <c r="B87" s="22">
        <v>75.7</v>
      </c>
      <c r="C87" s="22">
        <v>70</v>
      </c>
      <c r="D87" s="17">
        <v>16310058</v>
      </c>
      <c r="E87" s="17">
        <f t="shared" si="5"/>
        <v>1141704060</v>
      </c>
      <c r="F87" s="25">
        <v>0.05</v>
      </c>
      <c r="G87" s="17">
        <f t="shared" si="6"/>
        <v>57085203</v>
      </c>
      <c r="H87" s="17">
        <f t="shared" si="7"/>
        <v>1198789000</v>
      </c>
      <c r="I87" s="17">
        <f t="shared" si="8"/>
        <v>22834000</v>
      </c>
      <c r="J87" s="17"/>
      <c r="K87" s="17">
        <f t="shared" si="9"/>
        <v>1221623000</v>
      </c>
      <c r="L87" s="5" t="s">
        <v>140</v>
      </c>
      <c r="M87" s="4" t="s">
        <v>8</v>
      </c>
      <c r="N87" s="4" t="s">
        <v>7</v>
      </c>
      <c r="O87" s="12" t="s">
        <v>120</v>
      </c>
    </row>
    <row r="88" spans="1:15" ht="22.5" customHeight="1" x14ac:dyDescent="0.25">
      <c r="A88" s="4" t="s">
        <v>86</v>
      </c>
      <c r="B88" s="22">
        <v>77.3</v>
      </c>
      <c r="C88" s="22">
        <v>71</v>
      </c>
      <c r="D88" s="17">
        <v>16310058</v>
      </c>
      <c r="E88" s="17">
        <f t="shared" si="5"/>
        <v>1158014118</v>
      </c>
      <c r="F88" s="25">
        <v>0.05</v>
      </c>
      <c r="G88" s="17">
        <f t="shared" si="6"/>
        <v>57900705.900000006</v>
      </c>
      <c r="H88" s="17">
        <f t="shared" si="7"/>
        <v>1215915000</v>
      </c>
      <c r="I88" s="17">
        <f t="shared" si="8"/>
        <v>23160000</v>
      </c>
      <c r="J88" s="17"/>
      <c r="K88" s="17">
        <f t="shared" si="9"/>
        <v>1239075000</v>
      </c>
      <c r="L88" s="5" t="s">
        <v>140</v>
      </c>
      <c r="M88" s="4" t="s">
        <v>7</v>
      </c>
      <c r="N88" s="4" t="s">
        <v>8</v>
      </c>
      <c r="O88" s="13" t="s">
        <v>120</v>
      </c>
    </row>
    <row r="89" spans="1:15" ht="22.5" customHeight="1" x14ac:dyDescent="0.25">
      <c r="A89" s="4" t="s">
        <v>87</v>
      </c>
      <c r="B89" s="22">
        <v>74.5</v>
      </c>
      <c r="C89" s="22">
        <v>69.5</v>
      </c>
      <c r="D89" s="17">
        <v>15990253</v>
      </c>
      <c r="E89" s="17">
        <f t="shared" si="5"/>
        <v>1111322583.5</v>
      </c>
      <c r="F89" s="25">
        <v>0.05</v>
      </c>
      <c r="G89" s="17">
        <f t="shared" si="6"/>
        <v>55566129.175000004</v>
      </c>
      <c r="H89" s="17">
        <f t="shared" si="7"/>
        <v>1166889000</v>
      </c>
      <c r="I89" s="17">
        <f t="shared" si="8"/>
        <v>22226000</v>
      </c>
      <c r="J89" s="17"/>
      <c r="K89" s="17">
        <f t="shared" si="9"/>
        <v>1189115000</v>
      </c>
      <c r="L89" s="5" t="s">
        <v>140</v>
      </c>
      <c r="M89" s="4" t="s">
        <v>7</v>
      </c>
      <c r="N89" s="4" t="s">
        <v>8</v>
      </c>
      <c r="O89" s="14" t="s">
        <v>120</v>
      </c>
    </row>
    <row r="90" spans="1:15" ht="22.5" customHeight="1" x14ac:dyDescent="0.25">
      <c r="A90" s="4" t="s">
        <v>88</v>
      </c>
      <c r="B90" s="22">
        <v>55.2</v>
      </c>
      <c r="C90" s="22">
        <v>51.1</v>
      </c>
      <c r="D90" s="17">
        <v>15670448</v>
      </c>
      <c r="E90" s="17">
        <f t="shared" si="5"/>
        <v>800759892.80000007</v>
      </c>
      <c r="F90" s="25">
        <v>0.05</v>
      </c>
      <c r="G90" s="17">
        <f t="shared" si="6"/>
        <v>40037994.640000008</v>
      </c>
      <c r="H90" s="17">
        <f t="shared" si="7"/>
        <v>840798000</v>
      </c>
      <c r="I90" s="17">
        <f t="shared" si="8"/>
        <v>16015000</v>
      </c>
      <c r="J90" s="17"/>
      <c r="K90" s="17">
        <f t="shared" si="9"/>
        <v>856813000</v>
      </c>
      <c r="L90" s="5" t="s">
        <v>140</v>
      </c>
      <c r="M90" s="4" t="s">
        <v>7</v>
      </c>
      <c r="N90" s="4" t="s">
        <v>8</v>
      </c>
      <c r="O90" s="12" t="s">
        <v>121</v>
      </c>
    </row>
    <row r="91" spans="1:15" ht="22.5" customHeight="1" x14ac:dyDescent="0.25">
      <c r="A91" s="4" t="s">
        <v>89</v>
      </c>
      <c r="B91" s="22">
        <v>74.5</v>
      </c>
      <c r="C91" s="22">
        <v>69.5</v>
      </c>
      <c r="D91" s="17">
        <v>15670448</v>
      </c>
      <c r="E91" s="17">
        <f t="shared" si="5"/>
        <v>1089096136</v>
      </c>
      <c r="F91" s="25">
        <v>0.05</v>
      </c>
      <c r="G91" s="17">
        <f t="shared" si="6"/>
        <v>54454806.800000004</v>
      </c>
      <c r="H91" s="17">
        <f t="shared" si="7"/>
        <v>1143551000</v>
      </c>
      <c r="I91" s="17">
        <f t="shared" si="8"/>
        <v>21782000</v>
      </c>
      <c r="J91" s="17"/>
      <c r="K91" s="17">
        <f t="shared" si="9"/>
        <v>1165333000</v>
      </c>
      <c r="L91" s="5" t="s">
        <v>140</v>
      </c>
      <c r="M91" s="4" t="s">
        <v>7</v>
      </c>
      <c r="N91" s="4" t="s">
        <v>8</v>
      </c>
      <c r="O91" s="12" t="s">
        <v>120</v>
      </c>
    </row>
    <row r="92" spans="1:15" ht="22.5" customHeight="1" x14ac:dyDescent="0.25">
      <c r="A92" s="4" t="s">
        <v>90</v>
      </c>
      <c r="B92" s="22">
        <v>74.5</v>
      </c>
      <c r="C92" s="22">
        <v>69.5</v>
      </c>
      <c r="D92" s="17">
        <v>15990253</v>
      </c>
      <c r="E92" s="17">
        <f t="shared" si="5"/>
        <v>1111322583.5</v>
      </c>
      <c r="F92" s="25">
        <v>0.05</v>
      </c>
      <c r="G92" s="17">
        <f t="shared" si="6"/>
        <v>55566129.175000004</v>
      </c>
      <c r="H92" s="17">
        <f t="shared" si="7"/>
        <v>1166889000</v>
      </c>
      <c r="I92" s="17">
        <f t="shared" si="8"/>
        <v>22226000</v>
      </c>
      <c r="J92" s="17"/>
      <c r="K92" s="17">
        <f t="shared" si="9"/>
        <v>1189115000</v>
      </c>
      <c r="L92" s="5" t="s">
        <v>140</v>
      </c>
      <c r="M92" s="4" t="s">
        <v>7</v>
      </c>
      <c r="N92" s="4" t="s">
        <v>8</v>
      </c>
      <c r="O92" s="12" t="s">
        <v>120</v>
      </c>
    </row>
    <row r="93" spans="1:15" ht="22.5" customHeight="1" x14ac:dyDescent="0.25">
      <c r="A93" s="4" t="s">
        <v>91</v>
      </c>
      <c r="B93" s="22">
        <v>55.2</v>
      </c>
      <c r="C93" s="22">
        <v>51.1</v>
      </c>
      <c r="D93" s="17">
        <v>15990253</v>
      </c>
      <c r="E93" s="17">
        <f t="shared" si="5"/>
        <v>817101928.30000007</v>
      </c>
      <c r="F93" s="25">
        <v>0.05</v>
      </c>
      <c r="G93" s="17">
        <f t="shared" si="6"/>
        <v>40855096.415000007</v>
      </c>
      <c r="H93" s="17">
        <f t="shared" si="7"/>
        <v>857957000</v>
      </c>
      <c r="I93" s="17">
        <f t="shared" si="8"/>
        <v>16342000</v>
      </c>
      <c r="J93" s="17"/>
      <c r="K93" s="17">
        <f t="shared" si="9"/>
        <v>874299000</v>
      </c>
      <c r="L93" s="5" t="s">
        <v>140</v>
      </c>
      <c r="M93" s="4" t="s">
        <v>7</v>
      </c>
      <c r="N93" s="4" t="s">
        <v>8</v>
      </c>
      <c r="O93" s="14" t="s">
        <v>121</v>
      </c>
    </row>
    <row r="94" spans="1:15" ht="22.5" customHeight="1" x14ac:dyDescent="0.25">
      <c r="A94" s="4" t="s">
        <v>92</v>
      </c>
      <c r="B94" s="22">
        <v>77.3</v>
      </c>
      <c r="C94" s="22">
        <v>71.5</v>
      </c>
      <c r="D94" s="17">
        <v>16310058</v>
      </c>
      <c r="E94" s="17">
        <f t="shared" si="5"/>
        <v>1166169147</v>
      </c>
      <c r="F94" s="25">
        <v>0.05</v>
      </c>
      <c r="G94" s="17">
        <f t="shared" si="6"/>
        <v>58308457.350000001</v>
      </c>
      <c r="H94" s="17">
        <f t="shared" si="7"/>
        <v>1224478000</v>
      </c>
      <c r="I94" s="17">
        <f t="shared" si="8"/>
        <v>23323000</v>
      </c>
      <c r="J94" s="17"/>
      <c r="K94" s="17">
        <f t="shared" si="9"/>
        <v>1247801000</v>
      </c>
      <c r="L94" s="5" t="s">
        <v>140</v>
      </c>
      <c r="M94" s="4" t="s">
        <v>8</v>
      </c>
      <c r="N94" s="4" t="s">
        <v>7</v>
      </c>
      <c r="O94" s="12" t="s">
        <v>120</v>
      </c>
    </row>
    <row r="95" spans="1:15" ht="22.5" customHeight="1" x14ac:dyDescent="0.25">
      <c r="A95" s="4" t="s">
        <v>93</v>
      </c>
      <c r="B95" s="22">
        <v>74.5</v>
      </c>
      <c r="C95" s="22">
        <v>70</v>
      </c>
      <c r="D95" s="17">
        <v>15990253</v>
      </c>
      <c r="E95" s="17">
        <f t="shared" si="5"/>
        <v>1119317710</v>
      </c>
      <c r="F95" s="25">
        <v>0.05</v>
      </c>
      <c r="G95" s="17">
        <f t="shared" si="6"/>
        <v>55965885.5</v>
      </c>
      <c r="H95" s="17">
        <f t="shared" si="7"/>
        <v>1175284000</v>
      </c>
      <c r="I95" s="17">
        <f t="shared" si="8"/>
        <v>22386000</v>
      </c>
      <c r="J95" s="17"/>
      <c r="K95" s="17">
        <f t="shared" si="9"/>
        <v>1197670000</v>
      </c>
      <c r="L95" s="5" t="s">
        <v>140</v>
      </c>
      <c r="M95" s="4" t="s">
        <v>8</v>
      </c>
      <c r="N95" s="4" t="s">
        <v>7</v>
      </c>
      <c r="O95" s="12" t="s">
        <v>120</v>
      </c>
    </row>
    <row r="96" spans="1:15" ht="22.5" customHeight="1" x14ac:dyDescent="0.25">
      <c r="A96" s="4" t="s">
        <v>94</v>
      </c>
      <c r="B96" s="22">
        <v>74.5</v>
      </c>
      <c r="C96" s="22">
        <v>70</v>
      </c>
      <c r="D96">
        <v>15990253</v>
      </c>
      <c r="E96" s="17">
        <f t="shared" si="5"/>
        <v>1119317710</v>
      </c>
      <c r="F96" s="25">
        <v>0.05</v>
      </c>
      <c r="G96" s="17">
        <f t="shared" si="6"/>
        <v>55965885.5</v>
      </c>
      <c r="H96" s="17">
        <f t="shared" si="7"/>
        <v>1175284000</v>
      </c>
      <c r="I96" s="17">
        <f t="shared" si="8"/>
        <v>22386000</v>
      </c>
      <c r="J96" s="17"/>
      <c r="K96" s="17">
        <f t="shared" si="9"/>
        <v>1197670000</v>
      </c>
      <c r="L96" s="5" t="s">
        <v>140</v>
      </c>
      <c r="M96" s="4" t="s">
        <v>8</v>
      </c>
      <c r="N96" s="4" t="s">
        <v>7</v>
      </c>
      <c r="O96" s="12" t="s">
        <v>120</v>
      </c>
    </row>
    <row r="97" spans="1:15" ht="22.5" customHeight="1" x14ac:dyDescent="0.25">
      <c r="A97" s="4" t="s">
        <v>95</v>
      </c>
      <c r="B97" s="22">
        <v>74.5</v>
      </c>
      <c r="C97" s="22">
        <v>70</v>
      </c>
      <c r="D97">
        <v>15670448</v>
      </c>
      <c r="E97" s="17">
        <f t="shared" si="5"/>
        <v>1096931360</v>
      </c>
      <c r="F97" s="25">
        <v>0.05</v>
      </c>
      <c r="G97" s="17">
        <f t="shared" si="6"/>
        <v>54846568</v>
      </c>
      <c r="H97" s="17">
        <f t="shared" si="7"/>
        <v>1151778000</v>
      </c>
      <c r="I97" s="17">
        <f t="shared" si="8"/>
        <v>21939000</v>
      </c>
      <c r="J97" s="17"/>
      <c r="K97" s="17">
        <f t="shared" si="9"/>
        <v>1173717000</v>
      </c>
      <c r="L97" s="5" t="s">
        <v>140</v>
      </c>
      <c r="M97" s="4" t="s">
        <v>8</v>
      </c>
      <c r="N97" s="4" t="s">
        <v>7</v>
      </c>
      <c r="O97" s="12" t="s">
        <v>120</v>
      </c>
    </row>
    <row r="98" spans="1:15" ht="22.5" customHeight="1" x14ac:dyDescent="0.25">
      <c r="A98" s="4" t="s">
        <v>96</v>
      </c>
      <c r="B98" s="22">
        <v>74.5</v>
      </c>
      <c r="C98" s="22">
        <v>70</v>
      </c>
      <c r="D98">
        <v>15990253</v>
      </c>
      <c r="E98" s="17">
        <f t="shared" si="5"/>
        <v>1119317710</v>
      </c>
      <c r="F98" s="25">
        <v>0.05</v>
      </c>
      <c r="G98" s="17">
        <f t="shared" si="6"/>
        <v>55965885.5</v>
      </c>
      <c r="H98" s="17">
        <f t="shared" si="7"/>
        <v>1175284000</v>
      </c>
      <c r="I98" s="17">
        <f t="shared" si="8"/>
        <v>22386000</v>
      </c>
      <c r="J98" s="17"/>
      <c r="K98" s="17">
        <f t="shared" si="9"/>
        <v>1197670000</v>
      </c>
      <c r="L98" s="5" t="s">
        <v>140</v>
      </c>
      <c r="M98" s="4" t="s">
        <v>8</v>
      </c>
      <c r="N98" s="4" t="s">
        <v>7</v>
      </c>
      <c r="O98" s="13" t="s">
        <v>120</v>
      </c>
    </row>
    <row r="99" spans="1:15" ht="22.5" customHeight="1" x14ac:dyDescent="0.25">
      <c r="A99" s="4" t="s">
        <v>97</v>
      </c>
      <c r="B99" s="22">
        <v>74.5</v>
      </c>
      <c r="C99" s="22">
        <v>70</v>
      </c>
      <c r="D99">
        <v>15990253</v>
      </c>
      <c r="E99" s="17">
        <f t="shared" si="5"/>
        <v>1119317710</v>
      </c>
      <c r="F99" s="25">
        <v>0.05</v>
      </c>
      <c r="G99" s="17">
        <f t="shared" si="6"/>
        <v>55965885.5</v>
      </c>
      <c r="H99" s="17">
        <f t="shared" si="7"/>
        <v>1175284000</v>
      </c>
      <c r="I99" s="17">
        <f t="shared" si="8"/>
        <v>22386000</v>
      </c>
      <c r="J99" s="17"/>
      <c r="K99" s="17">
        <f t="shared" si="9"/>
        <v>1197670000</v>
      </c>
      <c r="L99" s="5" t="s">
        <v>140</v>
      </c>
      <c r="M99" s="4" t="s">
        <v>8</v>
      </c>
      <c r="N99" s="4" t="s">
        <v>7</v>
      </c>
      <c r="O99" s="12" t="s">
        <v>120</v>
      </c>
    </row>
    <row r="100" spans="1:15" ht="22.5" customHeight="1" x14ac:dyDescent="0.25">
      <c r="A100" s="4" t="s">
        <v>98</v>
      </c>
      <c r="B100" s="22">
        <v>75.7</v>
      </c>
      <c r="C100" s="22">
        <v>70</v>
      </c>
      <c r="D100">
        <v>16310058</v>
      </c>
      <c r="E100" s="17">
        <f t="shared" si="5"/>
        <v>1141704060</v>
      </c>
      <c r="F100" s="25">
        <v>0.05</v>
      </c>
      <c r="G100" s="17">
        <f t="shared" si="6"/>
        <v>57085203</v>
      </c>
      <c r="H100" s="17">
        <f t="shared" si="7"/>
        <v>1198789000</v>
      </c>
      <c r="I100" s="17">
        <f t="shared" si="8"/>
        <v>22834000</v>
      </c>
      <c r="J100" s="17"/>
      <c r="K100" s="17">
        <f t="shared" si="9"/>
        <v>1221623000</v>
      </c>
      <c r="L100" s="5" t="s">
        <v>140</v>
      </c>
      <c r="M100" s="4" t="s">
        <v>8</v>
      </c>
      <c r="N100" s="4" t="s">
        <v>7</v>
      </c>
      <c r="O100" s="12" t="s">
        <v>120</v>
      </c>
    </row>
    <row r="101" spans="1:15" ht="22.5" customHeight="1" x14ac:dyDescent="0.25">
      <c r="A101" s="4" t="s">
        <v>99</v>
      </c>
      <c r="B101" s="22">
        <v>77.3</v>
      </c>
      <c r="C101" s="22">
        <v>71</v>
      </c>
      <c r="D101">
        <v>16310058</v>
      </c>
      <c r="E101" s="17">
        <f t="shared" si="5"/>
        <v>1158014118</v>
      </c>
      <c r="F101" s="25">
        <v>0.05</v>
      </c>
      <c r="G101" s="17">
        <f t="shared" si="6"/>
        <v>57900705.900000006</v>
      </c>
      <c r="H101" s="17">
        <f t="shared" si="7"/>
        <v>1215915000</v>
      </c>
      <c r="I101" s="17">
        <f t="shared" si="8"/>
        <v>23160000</v>
      </c>
      <c r="J101" s="17"/>
      <c r="K101" s="17">
        <f t="shared" si="9"/>
        <v>1239075000</v>
      </c>
      <c r="L101" s="5" t="s">
        <v>140</v>
      </c>
      <c r="M101" s="4" t="s">
        <v>7</v>
      </c>
      <c r="N101" s="4" t="s">
        <v>8</v>
      </c>
      <c r="O101" s="14" t="s">
        <v>120</v>
      </c>
    </row>
    <row r="102" spans="1:15" ht="22.5" customHeight="1" x14ac:dyDescent="0.25">
      <c r="A102" s="4" t="s">
        <v>100</v>
      </c>
      <c r="B102" s="22">
        <v>74.5</v>
      </c>
      <c r="C102" s="22">
        <v>69.5</v>
      </c>
      <c r="D102">
        <v>15990253</v>
      </c>
      <c r="E102" s="17">
        <f t="shared" si="5"/>
        <v>1111322583.5</v>
      </c>
      <c r="F102" s="25">
        <v>0.05</v>
      </c>
      <c r="G102" s="17">
        <f t="shared" si="6"/>
        <v>55566129.175000004</v>
      </c>
      <c r="H102" s="17">
        <f t="shared" si="7"/>
        <v>1166889000</v>
      </c>
      <c r="I102" s="17">
        <f t="shared" si="8"/>
        <v>22226000</v>
      </c>
      <c r="J102" s="17"/>
      <c r="K102" s="17">
        <f t="shared" si="9"/>
        <v>1189115000</v>
      </c>
      <c r="L102" s="5" t="s">
        <v>140</v>
      </c>
      <c r="M102" s="4" t="s">
        <v>7</v>
      </c>
      <c r="N102" s="4" t="s">
        <v>8</v>
      </c>
      <c r="O102" s="12" t="s">
        <v>120</v>
      </c>
    </row>
    <row r="103" spans="1:15" ht="22.5" customHeight="1" x14ac:dyDescent="0.25">
      <c r="A103" s="4" t="s">
        <v>101</v>
      </c>
      <c r="B103" s="22">
        <v>55.2</v>
      </c>
      <c r="C103" s="22">
        <v>51.1</v>
      </c>
      <c r="D103">
        <v>15670448</v>
      </c>
      <c r="E103" s="17">
        <f t="shared" si="5"/>
        <v>800759892.80000007</v>
      </c>
      <c r="F103" s="25">
        <v>0.05</v>
      </c>
      <c r="G103" s="17">
        <f t="shared" si="6"/>
        <v>40037994.640000008</v>
      </c>
      <c r="H103" s="17">
        <f t="shared" si="7"/>
        <v>840798000</v>
      </c>
      <c r="I103" s="17">
        <f t="shared" si="8"/>
        <v>16015000</v>
      </c>
      <c r="J103" s="17"/>
      <c r="K103" s="17">
        <f t="shared" si="9"/>
        <v>856813000</v>
      </c>
      <c r="L103" s="5" t="s">
        <v>140</v>
      </c>
      <c r="M103" s="4" t="s">
        <v>7</v>
      </c>
      <c r="N103" s="4" t="s">
        <v>8</v>
      </c>
      <c r="O103" s="13" t="s">
        <v>121</v>
      </c>
    </row>
    <row r="104" spans="1:15" ht="22.5" customHeight="1" x14ac:dyDescent="0.25">
      <c r="A104" s="4" t="s">
        <v>102</v>
      </c>
      <c r="B104" s="22">
        <v>74.5</v>
      </c>
      <c r="C104" s="22">
        <v>69.5</v>
      </c>
      <c r="D104">
        <v>15670448</v>
      </c>
      <c r="E104" s="17">
        <f t="shared" si="5"/>
        <v>1089096136</v>
      </c>
      <c r="F104" s="25">
        <v>0.05</v>
      </c>
      <c r="G104" s="17">
        <f t="shared" si="6"/>
        <v>54454806.800000004</v>
      </c>
      <c r="H104" s="17">
        <f t="shared" si="7"/>
        <v>1143551000</v>
      </c>
      <c r="I104" s="17">
        <f t="shared" si="8"/>
        <v>21782000</v>
      </c>
      <c r="J104" s="17"/>
      <c r="K104" s="17">
        <f t="shared" si="9"/>
        <v>1165333000</v>
      </c>
      <c r="L104" s="5" t="s">
        <v>140</v>
      </c>
      <c r="M104" s="4" t="s">
        <v>7</v>
      </c>
      <c r="N104" s="4" t="s">
        <v>8</v>
      </c>
      <c r="O104" s="12" t="s">
        <v>120</v>
      </c>
    </row>
    <row r="105" spans="1:15" ht="22.5" customHeight="1" x14ac:dyDescent="0.25">
      <c r="A105" s="4" t="s">
        <v>103</v>
      </c>
      <c r="B105" s="22">
        <v>74.5</v>
      </c>
      <c r="C105" s="22">
        <v>69.5</v>
      </c>
      <c r="D105">
        <v>15990253</v>
      </c>
      <c r="E105" s="17">
        <f t="shared" si="5"/>
        <v>1111322583.5</v>
      </c>
      <c r="F105" s="25">
        <v>0.05</v>
      </c>
      <c r="G105" s="17">
        <f t="shared" si="6"/>
        <v>55566129.175000004</v>
      </c>
      <c r="H105" s="17">
        <f t="shared" si="7"/>
        <v>1166889000</v>
      </c>
      <c r="I105" s="17">
        <f t="shared" si="8"/>
        <v>22226000</v>
      </c>
      <c r="J105" s="17"/>
      <c r="K105" s="17">
        <f t="shared" si="9"/>
        <v>1189115000</v>
      </c>
      <c r="L105" s="5" t="s">
        <v>140</v>
      </c>
      <c r="M105" s="4" t="s">
        <v>7</v>
      </c>
      <c r="N105" s="4" t="s">
        <v>8</v>
      </c>
      <c r="O105" s="12" t="s">
        <v>120</v>
      </c>
    </row>
    <row r="106" spans="1:15" ht="22.5" customHeight="1" x14ac:dyDescent="0.25">
      <c r="A106" s="4" t="s">
        <v>104</v>
      </c>
      <c r="B106" s="22">
        <v>55.2</v>
      </c>
      <c r="C106" s="22">
        <v>51.1</v>
      </c>
      <c r="D106">
        <v>15990253</v>
      </c>
      <c r="E106" s="17">
        <f t="shared" si="5"/>
        <v>817101928.30000007</v>
      </c>
      <c r="F106" s="25">
        <v>0.05</v>
      </c>
      <c r="G106" s="17">
        <f t="shared" si="6"/>
        <v>40855096.415000007</v>
      </c>
      <c r="H106" s="17">
        <f t="shared" si="7"/>
        <v>857957000</v>
      </c>
      <c r="I106" s="17">
        <f t="shared" si="8"/>
        <v>16342000</v>
      </c>
      <c r="J106" s="17"/>
      <c r="K106" s="17">
        <f t="shared" si="9"/>
        <v>874299000</v>
      </c>
      <c r="L106" s="5" t="s">
        <v>140</v>
      </c>
      <c r="M106" s="4" t="s">
        <v>7</v>
      </c>
      <c r="N106" s="4" t="s">
        <v>8</v>
      </c>
      <c r="O106" s="14" t="s">
        <v>121</v>
      </c>
    </row>
    <row r="107" spans="1:15" ht="22.5" customHeight="1" x14ac:dyDescent="0.25">
      <c r="A107" s="4" t="s">
        <v>105</v>
      </c>
      <c r="B107" s="22">
        <v>77.3</v>
      </c>
      <c r="C107" s="22">
        <v>71.5</v>
      </c>
      <c r="D107">
        <v>16310058</v>
      </c>
      <c r="E107" s="17">
        <f t="shared" si="5"/>
        <v>1166169147</v>
      </c>
      <c r="F107" s="25">
        <v>0.05</v>
      </c>
      <c r="G107" s="17">
        <f t="shared" si="6"/>
        <v>58308457.350000001</v>
      </c>
      <c r="H107" s="17">
        <f t="shared" si="7"/>
        <v>1224478000</v>
      </c>
      <c r="I107" s="17">
        <f t="shared" si="8"/>
        <v>23323000</v>
      </c>
      <c r="J107" s="17"/>
      <c r="K107" s="17">
        <f t="shared" si="9"/>
        <v>1247801000</v>
      </c>
      <c r="L107" s="5" t="s">
        <v>140</v>
      </c>
      <c r="M107" s="4" t="s">
        <v>8</v>
      </c>
      <c r="N107" s="4" t="s">
        <v>7</v>
      </c>
      <c r="O107" s="12" t="s">
        <v>120</v>
      </c>
    </row>
    <row r="108" spans="1:15" ht="22.5" customHeight="1" x14ac:dyDescent="0.25">
      <c r="A108" s="4" t="s">
        <v>106</v>
      </c>
      <c r="B108" s="22">
        <v>74.5</v>
      </c>
      <c r="C108" s="22">
        <v>70</v>
      </c>
      <c r="D108">
        <v>15990253</v>
      </c>
      <c r="E108" s="17">
        <f t="shared" si="5"/>
        <v>1119317710</v>
      </c>
      <c r="F108" s="25">
        <v>0.05</v>
      </c>
      <c r="G108" s="17">
        <f t="shared" si="6"/>
        <v>55965885.5</v>
      </c>
      <c r="H108" s="17">
        <f t="shared" si="7"/>
        <v>1175284000</v>
      </c>
      <c r="I108" s="17">
        <f t="shared" si="8"/>
        <v>22386000</v>
      </c>
      <c r="J108" s="17"/>
      <c r="K108" s="17">
        <f t="shared" si="9"/>
        <v>1197670000</v>
      </c>
      <c r="L108" s="5" t="s">
        <v>140</v>
      </c>
      <c r="M108" s="4" t="s">
        <v>8</v>
      </c>
      <c r="N108" s="4" t="s">
        <v>7</v>
      </c>
      <c r="O108" s="12" t="s">
        <v>120</v>
      </c>
    </row>
    <row r="109" spans="1:15" ht="22.5" customHeight="1" x14ac:dyDescent="0.25">
      <c r="A109" s="4" t="s">
        <v>107</v>
      </c>
      <c r="B109" s="22">
        <v>74.5</v>
      </c>
      <c r="C109" s="22">
        <v>70</v>
      </c>
      <c r="D109">
        <v>15990253</v>
      </c>
      <c r="E109" s="17">
        <f t="shared" si="5"/>
        <v>1119317710</v>
      </c>
      <c r="F109" s="25">
        <v>0.05</v>
      </c>
      <c r="G109" s="17">
        <f t="shared" si="6"/>
        <v>55965885.5</v>
      </c>
      <c r="H109" s="17">
        <f t="shared" si="7"/>
        <v>1175284000</v>
      </c>
      <c r="I109" s="17">
        <f t="shared" si="8"/>
        <v>22386000</v>
      </c>
      <c r="J109" s="17"/>
      <c r="K109" s="17">
        <f t="shared" si="9"/>
        <v>1197670000</v>
      </c>
      <c r="L109" s="5" t="s">
        <v>140</v>
      </c>
      <c r="M109" s="4" t="s">
        <v>8</v>
      </c>
      <c r="N109" s="4" t="s">
        <v>7</v>
      </c>
      <c r="O109" s="12" t="s">
        <v>120</v>
      </c>
    </row>
    <row r="110" spans="1:15" ht="22.5" customHeight="1" x14ac:dyDescent="0.25">
      <c r="A110" s="4" t="s">
        <v>108</v>
      </c>
      <c r="B110" s="22">
        <v>74.5</v>
      </c>
      <c r="C110" s="22">
        <v>70</v>
      </c>
      <c r="D110">
        <v>15670448</v>
      </c>
      <c r="E110" s="17">
        <f t="shared" si="5"/>
        <v>1096931360</v>
      </c>
      <c r="F110" s="25">
        <v>0.05</v>
      </c>
      <c r="G110" s="17">
        <f t="shared" si="6"/>
        <v>54846568</v>
      </c>
      <c r="H110" s="17">
        <f t="shared" si="7"/>
        <v>1151778000</v>
      </c>
      <c r="I110" s="17">
        <f t="shared" si="8"/>
        <v>21939000</v>
      </c>
      <c r="J110" s="17"/>
      <c r="K110" s="17">
        <f t="shared" si="9"/>
        <v>1173717000</v>
      </c>
      <c r="L110" s="5" t="s">
        <v>140</v>
      </c>
      <c r="M110" s="4" t="s">
        <v>8</v>
      </c>
      <c r="N110" s="4" t="s">
        <v>7</v>
      </c>
      <c r="O110" s="12" t="s">
        <v>120</v>
      </c>
    </row>
    <row r="111" spans="1:15" ht="22.5" customHeight="1" x14ac:dyDescent="0.25">
      <c r="A111" s="4" t="s">
        <v>109</v>
      </c>
      <c r="B111" s="22">
        <v>74.5</v>
      </c>
      <c r="C111" s="22">
        <v>70</v>
      </c>
      <c r="D111">
        <v>15990253</v>
      </c>
      <c r="E111" s="17">
        <f t="shared" si="5"/>
        <v>1119317710</v>
      </c>
      <c r="F111" s="25">
        <v>0.05</v>
      </c>
      <c r="G111" s="17">
        <f t="shared" si="6"/>
        <v>55965885.5</v>
      </c>
      <c r="H111" s="17">
        <f t="shared" si="7"/>
        <v>1175284000</v>
      </c>
      <c r="I111" s="17">
        <f t="shared" si="8"/>
        <v>22386000</v>
      </c>
      <c r="J111" s="17"/>
      <c r="K111" s="17">
        <f t="shared" si="9"/>
        <v>1197670000</v>
      </c>
      <c r="L111" s="5" t="s">
        <v>140</v>
      </c>
      <c r="M111" s="4" t="s">
        <v>8</v>
      </c>
      <c r="N111" s="4" t="s">
        <v>7</v>
      </c>
      <c r="O111" s="12" t="s">
        <v>120</v>
      </c>
    </row>
    <row r="112" spans="1:15" ht="22.5" customHeight="1" x14ac:dyDescent="0.25">
      <c r="A112" s="4" t="s">
        <v>110</v>
      </c>
      <c r="B112" s="22">
        <v>74.5</v>
      </c>
      <c r="C112" s="22">
        <v>70</v>
      </c>
      <c r="D112">
        <v>15990253</v>
      </c>
      <c r="E112" s="17">
        <f t="shared" si="5"/>
        <v>1119317710</v>
      </c>
      <c r="F112" s="25">
        <v>0.05</v>
      </c>
      <c r="G112" s="17">
        <f t="shared" si="6"/>
        <v>55965885.5</v>
      </c>
      <c r="H112" s="17">
        <f t="shared" si="7"/>
        <v>1175284000</v>
      </c>
      <c r="I112" s="17">
        <f t="shared" si="8"/>
        <v>22386000</v>
      </c>
      <c r="J112" s="17"/>
      <c r="K112" s="17">
        <f t="shared" si="9"/>
        <v>1197670000</v>
      </c>
      <c r="L112" s="5" t="s">
        <v>140</v>
      </c>
      <c r="M112" s="4" t="s">
        <v>8</v>
      </c>
      <c r="N112" s="4" t="s">
        <v>7</v>
      </c>
      <c r="O112" s="12" t="s">
        <v>120</v>
      </c>
    </row>
    <row r="113" spans="1:15" ht="22.5" customHeight="1" x14ac:dyDescent="0.25">
      <c r="A113" s="4" t="s">
        <v>111</v>
      </c>
      <c r="B113" s="22">
        <v>75.7</v>
      </c>
      <c r="C113" s="22">
        <v>70</v>
      </c>
      <c r="D113">
        <v>16310058</v>
      </c>
      <c r="E113" s="17">
        <f t="shared" si="5"/>
        <v>1141704060</v>
      </c>
      <c r="F113" s="25">
        <v>0.05</v>
      </c>
      <c r="G113" s="17">
        <f t="shared" si="6"/>
        <v>57085203</v>
      </c>
      <c r="H113" s="17">
        <f t="shared" si="7"/>
        <v>1198789000</v>
      </c>
      <c r="I113" s="17">
        <f t="shared" si="8"/>
        <v>22834000</v>
      </c>
      <c r="J113" s="17"/>
      <c r="K113" s="17">
        <f t="shared" si="9"/>
        <v>1221623000</v>
      </c>
      <c r="L113" s="5" t="s">
        <v>140</v>
      </c>
      <c r="M113" s="4" t="s">
        <v>8</v>
      </c>
      <c r="N113" s="4" t="s">
        <v>7</v>
      </c>
      <c r="O113" s="12" t="s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Admin_PC</dc:creator>
  <cp:lastModifiedBy>Admin_PC</cp:lastModifiedBy>
  <dcterms:created xsi:type="dcterms:W3CDTF">2024-12-16T04:08:54Z</dcterms:created>
  <dcterms:modified xsi:type="dcterms:W3CDTF">2026-10-27T07:38:38Z</dcterms:modified>
</cp:coreProperties>
</file>