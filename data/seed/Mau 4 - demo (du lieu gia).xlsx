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u 4" sheetId="1" state="visible" r:id="rId1"/>
    <sheet xmlns:r="http://schemas.openxmlformats.org/officeDocument/2006/relationships" name="Danh mục" sheetId="2" state="visible" r:id="rId2"/>
    <sheet xmlns:r="http://schemas.openxmlformats.org/officeDocument/2006/relationships" name="Địa chỉ" sheetId="3" state="visible" r:id="rId3"/>
    <sheet xmlns:r="http://schemas.openxmlformats.org/officeDocument/2006/relationships" name="Lưu ý khi nhập dữ liệu" sheetId="4" state="visible" r:id="rId4"/>
  </sheets>
  <definedNames>
    <definedName name="_xlnm._FilterDatabase" localSheetId="0" hidden="1">'Mau 4'!$A$3:$V$142</definedName>
    <definedName name="_xlnm.Print_Area" localSheetId="0">'Mau 4'!$A$1:$U$168</definedName>
  </definedNames>
  <calcPr calcId="191028" fullCalcOnLoad="1"/>
</workbook>
</file>

<file path=xl/styles.xml><?xml version="1.0" encoding="utf-8"?>
<styleSheet xmlns="http://schemas.openxmlformats.org/spreadsheetml/2006/main">
  <numFmts count="5">
    <numFmt numFmtId="164" formatCode="000000000"/>
    <numFmt numFmtId="165" formatCode="000000000000"/>
    <numFmt numFmtId="166" formatCode="00"/>
    <numFmt numFmtId="167" formatCode="0000000000"/>
    <numFmt numFmtId="168" formatCode="_-* #,##0.00\ _₫_-;\-* #,##0.00\ _₫_-;_-* &quot;-&quot;??\ _₫_-;_-@_-"/>
  </numFmts>
  <fonts count="15">
    <font>
      <name val="Calibri"/>
      <family val="2"/>
      <color theme="1"/>
      <sz val="11"/>
      <scheme val="minor"/>
    </font>
    <font>
      <name val="Times New Roman"/>
      <family val="1"/>
      <color theme="1"/>
      <sz val="10"/>
    </font>
    <font>
      <name val="Times New Roman"/>
      <family val="1"/>
      <color theme="1"/>
      <sz val="25"/>
    </font>
    <font>
      <name val="Times New Roman"/>
      <family val="1"/>
      <b val="1"/>
      <color theme="1"/>
      <sz val="10"/>
    </font>
    <font>
      <name val="Calibri Light"/>
      <family val="1"/>
      <b val="1"/>
      <color rgb="FFFF0000"/>
      <sz val="16"/>
      <scheme val="major"/>
    </font>
    <font>
      <name val="Calibri Light"/>
      <family val="1"/>
      <color theme="1"/>
      <sz val="14"/>
      <scheme val="major"/>
    </font>
    <font>
      <name val="Calibri"/>
      <family val="2"/>
      <color theme="1"/>
      <sz val="11"/>
      <scheme val="minor"/>
    </font>
    <font>
      <name val="Times New Roman"/>
      <family val="1"/>
      <color theme="1"/>
      <sz val="11"/>
    </font>
    <font>
      <name val="Times New Roman"/>
      <family val="1"/>
      <color rgb="FF000000"/>
      <sz val="11"/>
    </font>
    <font>
      <name val="Times New Roman"/>
      <family val="1"/>
      <b val="1"/>
      <color theme="1"/>
      <sz val="11"/>
    </font>
    <font>
      <name val="Times New Roman"/>
      <family val="1"/>
      <color rgb="FFFF0000"/>
      <sz val="11"/>
    </font>
    <font>
      <name val="Calibri"/>
      <family val="2"/>
      <b val="1"/>
      <color theme="1"/>
      <sz val="11"/>
      <scheme val="minor"/>
    </font>
    <font>
      <name val="Times New Roman"/>
      <family val="1"/>
      <b val="1"/>
      <color rgb="FF000000"/>
      <sz val="11"/>
    </font>
    <font>
      <name val="Times New Roman"/>
      <family val="1"/>
      <b val="1"/>
      <color rgb="FFFF0000"/>
      <sz val="11"/>
    </font>
    <font>
      <name val="Times New Roman"/>
      <family val="1"/>
      <b val="1"/>
      <color theme="1"/>
      <sz val="14"/>
    </font>
  </fonts>
  <fills count="5">
    <fill>
      <patternFill/>
    </fill>
    <fill>
      <patternFill patternType="gray125"/>
    </fill>
    <fill>
      <patternFill patternType="solid">
        <fgColor rgb="FFFFFF00"/>
        <bgColor indexed="64"/>
      </patternFill>
    </fill>
    <fill>
      <patternFill patternType="solid">
        <fgColor theme="0"/>
        <bgColor indexed="64"/>
      </patternFill>
    </fill>
    <fill>
      <patternFill patternType="solid">
        <fgColor theme="4"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6" fillId="0" borderId="0"/>
    <xf numFmtId="168" fontId="6" fillId="0" borderId="0"/>
  </cellStyleXfs>
  <cellXfs count="76">
    <xf numFmtId="0" fontId="0" fillId="0" borderId="0" pivotButton="0" quotePrefix="0" xfId="0"/>
    <xf numFmtId="0" fontId="1" fillId="0" borderId="1" applyAlignment="1" pivotButton="0" quotePrefix="0" xfId="0">
      <alignment vertical="center" wrapText="1"/>
    </xf>
    <xf numFmtId="0" fontId="3" fillId="0" borderId="0" pivotButton="0" quotePrefix="0" xfId="0"/>
    <xf numFmtId="0" fontId="1" fillId="0" borderId="0" pivotButton="0" quotePrefix="0" xfId="0"/>
    <xf numFmtId="0" fontId="1" fillId="0" borderId="1" applyAlignment="1" pivotButton="0" quotePrefix="0" xfId="0">
      <alignment horizontal="center" vertical="center" wrapText="1"/>
    </xf>
    <xf numFmtId="0" fontId="3" fillId="0" borderId="1" pivotButton="0" quotePrefix="0" xfId="0"/>
    <xf numFmtId="0" fontId="1" fillId="0" borderId="1" pivotButton="0" quotePrefix="0" xfId="0"/>
    <xf numFmtId="0" fontId="3" fillId="0" borderId="1" applyAlignment="1" pivotButton="0" quotePrefix="0" xfId="0">
      <alignment horizontal="center" vertical="center"/>
    </xf>
    <xf numFmtId="0" fontId="4" fillId="2" borderId="1" applyAlignment="1" pivotButton="0" quotePrefix="0" xfId="0">
      <alignment horizontal="center" vertical="center" wrapText="1"/>
    </xf>
    <xf numFmtId="0" fontId="5" fillId="2" borderId="1" applyAlignment="1" pivotButton="0" quotePrefix="0" xfId="0">
      <alignment vertical="center"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7" fillId="3" borderId="0" applyAlignment="1" pivotButton="0" quotePrefix="0" xfId="0">
      <alignment horizontal="center" vertical="center" wrapText="1"/>
    </xf>
    <xf numFmtId="0" fontId="7" fillId="3" borderId="0" applyAlignment="1" pivotButton="0" quotePrefix="0" xfId="0">
      <alignment horizontal="center" vertical="center"/>
    </xf>
    <xf numFmtId="0" fontId="10" fillId="3" borderId="0" applyAlignment="1" pivotButton="0" quotePrefix="0" xfId="0">
      <alignment horizontal="center" vertical="center" wrapText="1"/>
    </xf>
    <xf numFmtId="0" fontId="7" fillId="3" borderId="3" applyAlignment="1" pivotButton="0" quotePrefix="0" xfId="0">
      <alignment horizontal="center" vertical="center"/>
    </xf>
    <xf numFmtId="0" fontId="10" fillId="3" borderId="3" applyAlignment="1" pivotButton="0" quotePrefix="0" xfId="0">
      <alignment horizontal="center" vertical="center" wrapText="1"/>
    </xf>
    <xf numFmtId="0" fontId="10" fillId="0" borderId="0" applyAlignment="1" pivotButton="0" quotePrefix="0" xfId="0">
      <alignment horizontal="center" vertical="center" wrapText="1"/>
    </xf>
    <xf numFmtId="0" fontId="7" fillId="0" borderId="0" applyAlignment="1" pivotButton="0" quotePrefix="0" xfId="0">
      <alignment horizontal="center" vertical="center"/>
    </xf>
    <xf numFmtId="0" fontId="13" fillId="3" borderId="0" applyAlignment="1" pivotButton="0" quotePrefix="0" xfId="0">
      <alignment horizontal="center" vertical="center" wrapText="1"/>
    </xf>
    <xf numFmtId="0" fontId="9" fillId="3" borderId="0" applyAlignment="1" pivotButton="0" quotePrefix="0" xfId="0">
      <alignment horizontal="center" vertical="center"/>
    </xf>
    <xf numFmtId="0" fontId="7" fillId="3" borderId="1" applyAlignment="1" pivotButton="0" quotePrefix="0" xfId="0">
      <alignment horizontal="center" vertical="center" wrapText="1"/>
    </xf>
    <xf numFmtId="0" fontId="8" fillId="3" borderId="1" applyAlignment="1" pivotButton="0" quotePrefix="0" xfId="0">
      <alignment horizontal="center" vertical="center" wrapText="1"/>
    </xf>
    <xf numFmtId="164" fontId="12" fillId="4" borderId="1" applyAlignment="1" pivotButton="0" quotePrefix="0" xfId="0">
      <alignment horizontal="center" vertical="center" wrapText="1"/>
    </xf>
    <xf numFmtId="165" fontId="12" fillId="4" borderId="1" applyAlignment="1" pivotButton="0" quotePrefix="0" xfId="0">
      <alignment horizontal="center" vertical="center" wrapText="1"/>
    </xf>
    <xf numFmtId="0" fontId="12" fillId="4" borderId="1" applyAlignment="1" pivotButton="0" quotePrefix="0" xfId="0">
      <alignment horizontal="center" vertical="center" wrapText="1"/>
    </xf>
    <xf numFmtId="2" fontId="12" fillId="4" borderId="1" applyAlignment="1" pivotButton="0" quotePrefix="0" xfId="1">
      <alignment horizontal="center" vertical="center" wrapText="1"/>
    </xf>
    <xf numFmtId="166" fontId="8" fillId="3" borderId="1" applyAlignment="1" pivotButton="0" quotePrefix="0" xfId="0">
      <alignment horizontal="center" vertical="center" wrapText="1"/>
    </xf>
    <xf numFmtId="164" fontId="8" fillId="3" borderId="1" applyAlignment="1" pivotButton="0" quotePrefix="0" xfId="0">
      <alignment horizontal="center" vertical="center" wrapText="1"/>
    </xf>
    <xf numFmtId="165" fontId="8" fillId="3" borderId="1" applyAlignment="1" pivotButton="0" quotePrefix="1" xfId="0">
      <alignment horizontal="center" vertical="center" wrapText="1"/>
    </xf>
    <xf numFmtId="167" fontId="8" fillId="3" borderId="1" applyAlignment="1" pivotButton="0" quotePrefix="1" xfId="0">
      <alignment horizontal="center" vertical="center" wrapText="1"/>
    </xf>
    <xf numFmtId="2"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166" fontId="8" fillId="0" borderId="1" applyAlignment="1" pivotButton="0" quotePrefix="0" xfId="0">
      <alignment horizontal="center" vertical="center" wrapText="1"/>
    </xf>
    <xf numFmtId="164" fontId="8" fillId="0" borderId="1" applyAlignment="1" pivotButton="0" quotePrefix="0" xfId="0">
      <alignment horizontal="center" vertical="center" wrapText="1"/>
    </xf>
    <xf numFmtId="165" fontId="8" fillId="0" borderId="1" applyAlignment="1" pivotButton="0" quotePrefix="1" xfId="0">
      <alignment horizontal="center" vertical="center" wrapText="1"/>
    </xf>
    <xf numFmtId="0" fontId="7" fillId="0" borderId="1" applyAlignment="1" pivotButton="0" quotePrefix="0" xfId="0">
      <alignment horizontal="center" vertical="center" wrapText="1"/>
    </xf>
    <xf numFmtId="2" fontId="7" fillId="3" borderId="1" applyAlignment="1" pivotButton="0" quotePrefix="0" xfId="0">
      <alignment horizontal="center" vertical="center" wrapText="1"/>
    </xf>
    <xf numFmtId="164" fontId="8" fillId="0" borderId="1" applyAlignment="1" pivotButton="0" quotePrefix="1" xfId="0">
      <alignment horizontal="center" vertical="center" wrapText="1"/>
    </xf>
    <xf numFmtId="164" fontId="8" fillId="3" borderId="1" applyAlignment="1" pivotButton="0" quotePrefix="1" xfId="0">
      <alignment horizontal="center" vertical="center" wrapText="1"/>
    </xf>
    <xf numFmtId="0" fontId="7" fillId="3" borderId="1" applyAlignment="1" pivotButton="0" quotePrefix="0" xfId="0">
      <alignment horizontal="center" vertical="center"/>
    </xf>
    <xf numFmtId="0" fontId="7" fillId="3" borderId="1" applyAlignment="1" pivotButton="0" quotePrefix="1" xfId="0">
      <alignment horizontal="center" vertical="center"/>
    </xf>
    <xf numFmtId="167" fontId="8" fillId="0" borderId="1" applyAlignment="1" pivotButton="0" quotePrefix="1" xfId="0">
      <alignment horizontal="center" vertical="center" wrapText="1"/>
    </xf>
    <xf numFmtId="0" fontId="0" fillId="0" borderId="1" pivotButton="0" quotePrefix="0" xfId="0"/>
    <xf numFmtId="0" fontId="8"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8" fillId="0" borderId="1" applyAlignment="1" pivotButton="0" quotePrefix="0" xfId="0">
      <alignment horizontal="center" vertical="center" wrapText="1"/>
    </xf>
    <xf numFmtId="2" fontId="7" fillId="3" borderId="1" applyAlignment="1" pivotButton="0" quotePrefix="0" xfId="0">
      <alignment horizontal="center" vertical="center" wrapText="1"/>
    </xf>
    <xf numFmtId="167" fontId="8" fillId="3" borderId="1" applyAlignment="1" pivotButton="0" quotePrefix="1" xfId="0">
      <alignment horizontal="center" vertical="center" wrapText="1"/>
    </xf>
    <xf numFmtId="0" fontId="0" fillId="0" borderId="1" pivotButton="0" quotePrefix="0" xfId="0"/>
    <xf numFmtId="0" fontId="7" fillId="3" borderId="1" applyAlignment="1" pivotButton="0" quotePrefix="0" xfId="0">
      <alignment horizontal="center" vertical="center"/>
    </xf>
    <xf numFmtId="0" fontId="7" fillId="3" borderId="1" applyAlignment="1" pivotButton="0" quotePrefix="1" xfId="0">
      <alignment horizontal="center" vertical="center"/>
    </xf>
    <xf numFmtId="49" fontId="14" fillId="3" borderId="2" applyAlignment="1" pivotButton="0" quotePrefix="0" xfId="0">
      <alignment horizontal="center" vertical="center" wrapText="1"/>
    </xf>
    <xf numFmtId="166" fontId="12" fillId="4" borderId="1" applyAlignment="1" pivotButton="0" quotePrefix="0" xfId="0">
      <alignment horizontal="center" vertical="center" wrapText="1"/>
    </xf>
    <xf numFmtId="0" fontId="11" fillId="0" borderId="1" pivotButton="0" quotePrefix="0" xfId="0"/>
    <xf numFmtId="167" fontId="12" fillId="4" borderId="1" applyAlignment="1" pivotButton="0" quotePrefix="0" xfId="0">
      <alignment horizontal="center" vertical="center" wrapText="1"/>
    </xf>
    <xf numFmtId="0" fontId="7" fillId="3" borderId="1" applyAlignment="1" pivotButton="0" quotePrefix="0" xfId="0">
      <alignment horizontal="center" vertical="center" wrapText="1"/>
    </xf>
    <xf numFmtId="2" fontId="7" fillId="0" borderId="1" applyAlignment="1" pivotButton="0" quotePrefix="0" xfId="0">
      <alignment horizontal="center" vertical="center" wrapText="1"/>
    </xf>
    <xf numFmtId="167" fontId="8" fillId="0" borderId="1" applyAlignment="1" pivotButton="0" quotePrefix="1" xfId="0">
      <alignment horizontal="center" vertical="center" wrapText="1"/>
    </xf>
    <xf numFmtId="0" fontId="12" fillId="4" borderId="4" applyAlignment="1" pivotButton="0" quotePrefix="0" xfId="0">
      <alignment horizontal="center" vertical="center" wrapText="1"/>
    </xf>
    <xf numFmtId="0" fontId="12" fillId="4" borderId="5" applyAlignment="1" pivotButton="0" quotePrefix="0" xfId="0">
      <alignment horizontal="center" vertical="center" wrapText="1"/>
    </xf>
    <xf numFmtId="0" fontId="0" fillId="0" borderId="2" pivotButton="0" quotePrefix="0" xfId="0"/>
    <xf numFmtId="166" fontId="12" fillId="4" borderId="1" applyAlignment="1" pivotButton="0" quotePrefix="0" xfId="0">
      <alignment horizontal="center" vertical="center" wrapText="1"/>
    </xf>
    <xf numFmtId="0" fontId="0" fillId="0" borderId="10" pivotButton="0" quotePrefix="0" xfId="0"/>
    <xf numFmtId="0" fontId="0" fillId="0" borderId="11" pivotButton="0" quotePrefix="0" xfId="0"/>
    <xf numFmtId="0" fontId="0" fillId="0" borderId="5" pivotButton="0" quotePrefix="0" xfId="0"/>
    <xf numFmtId="164" fontId="12" fillId="4" borderId="1" applyAlignment="1" pivotButton="0" quotePrefix="0" xfId="0">
      <alignment horizontal="center" vertical="center" wrapText="1"/>
    </xf>
    <xf numFmtId="165" fontId="12" fillId="4" borderId="1" applyAlignment="1" pivotButton="0" quotePrefix="0" xfId="0">
      <alignment horizontal="center" vertical="center" wrapText="1"/>
    </xf>
    <xf numFmtId="166" fontId="8" fillId="3" borderId="1" applyAlignment="1" pivotButton="0" quotePrefix="0" xfId="0">
      <alignment horizontal="center" vertical="center" wrapText="1"/>
    </xf>
    <xf numFmtId="164" fontId="8" fillId="3" borderId="1" applyAlignment="1" pivotButton="0" quotePrefix="0" xfId="0">
      <alignment horizontal="center" vertical="center" wrapText="1"/>
    </xf>
    <xf numFmtId="165" fontId="8" fillId="3" borderId="1" applyAlignment="1" pivotButton="0" quotePrefix="1" xfId="0">
      <alignment horizontal="center" vertical="center" wrapText="1"/>
    </xf>
    <xf numFmtId="166" fontId="8" fillId="0" borderId="1" applyAlignment="1" pivotButton="0" quotePrefix="0" xfId="0">
      <alignment horizontal="center" vertical="center" wrapText="1"/>
    </xf>
    <xf numFmtId="164" fontId="8" fillId="0" borderId="1" applyAlignment="1" pivotButton="0" quotePrefix="0" xfId="0">
      <alignment horizontal="center" vertical="center" wrapText="1"/>
    </xf>
    <xf numFmtId="165" fontId="8" fillId="0" borderId="1" applyAlignment="1" pivotButton="0" quotePrefix="1" xfId="0">
      <alignment horizontal="center" vertical="center" wrapText="1"/>
    </xf>
    <xf numFmtId="164" fontId="8" fillId="3" borderId="1" applyAlignment="1" pivotButton="0" quotePrefix="1" xfId="0">
      <alignment horizontal="center" vertical="center" wrapText="1"/>
    </xf>
    <xf numFmtId="164" fontId="8" fillId="0" borderId="1" applyAlignment="1" pivotButton="0" quotePrefix="1" xfId="0">
      <alignment horizontal="center" vertical="center" wrapText="1"/>
    </xf>
  </cellXfs>
  <cellStyles count="2">
    <cellStyle name="Normal" xfId="0" builtinId="0"/>
    <cellStyle name="Comma" xfId="1" builtinId="3"/>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V168"/>
  <sheetViews>
    <sheetView tabSelected="1" view="pageBreakPreview" zoomScale="70" zoomScaleNormal="70" zoomScaleSheetLayoutView="70" workbookViewId="0">
      <selection activeCell="D6" sqref="D6"/>
    </sheetView>
  </sheetViews>
  <sheetFormatPr baseColWidth="8" defaultColWidth="8.88671875" defaultRowHeight="45.75" customHeight="1"/>
  <cols>
    <col width="4.44140625" customWidth="1" style="13" min="1" max="1"/>
    <col width="20.77734375" customWidth="1" style="13" min="2" max="3"/>
    <col width="27.109375" customWidth="1" style="13" min="4" max="4"/>
    <col width="16.6640625" customWidth="1" style="13" min="5" max="5"/>
    <col width="8.88671875" customWidth="1" style="13" min="6" max="6"/>
    <col width="9.6640625" customWidth="1" style="13" min="7" max="7"/>
    <col width="13" customWidth="1" style="13" min="8" max="8"/>
    <col width="13.44140625" customWidth="1" style="13" min="9" max="9"/>
    <col width="16.44140625" customWidth="1" style="13" min="10" max="10"/>
    <col width="26.5546875" customWidth="1" style="13" min="11" max="11"/>
    <col width="46.88671875" customWidth="1" style="13" min="12" max="12"/>
    <col width="24.5546875" customWidth="1" style="13" min="13" max="13"/>
    <col width="17.88671875" customWidth="1" style="13" min="14" max="14"/>
    <col width="13.109375" customWidth="1" style="13" min="15" max="15"/>
    <col hidden="1" width="6.5546875" customWidth="1" style="13" min="16" max="16"/>
    <col width="13.5546875" customWidth="1" style="12" min="17" max="17"/>
    <col width="28.109375" customWidth="1" style="13" min="18" max="18"/>
    <col width="13.44140625" customWidth="1" style="13" min="19" max="19"/>
    <col width="13.6640625" customWidth="1" style="13" min="20" max="20"/>
    <col width="10.6640625" customWidth="1" style="13" min="21" max="21"/>
    <col width="14.109375" customWidth="1" style="14" min="22" max="22"/>
    <col width="8.88671875" customWidth="1" style="13" min="23" max="23"/>
    <col width="8.88671875" customWidth="1" style="13" min="24" max="16384"/>
  </cols>
  <sheetData>
    <row r="1" ht="45.75" customHeight="1">
      <c r="A1" s="52" t="inlineStr">
        <is>
          <t>DỰ ÁN: KHU NHÀ Ở XÃ HỘI CÁT TƯỜNG SMART CITY</t>
        </is>
      </c>
      <c r="B1" s="61" t="n"/>
      <c r="C1" s="61" t="n"/>
      <c r="D1" s="61" t="n"/>
      <c r="E1" s="61" t="n"/>
      <c r="F1" s="61" t="n"/>
      <c r="G1" s="61" t="n"/>
      <c r="H1" s="61" t="n"/>
      <c r="I1" s="61" t="n"/>
      <c r="J1" s="61" t="n"/>
      <c r="K1" s="61" t="n"/>
      <c r="L1" s="61" t="n"/>
      <c r="M1" s="61" t="n"/>
      <c r="N1" s="61" t="n"/>
      <c r="O1" s="61" t="n"/>
      <c r="P1" s="61" t="n"/>
      <c r="Q1" s="61" t="n"/>
      <c r="R1" s="61" t="n"/>
      <c r="S1" s="61" t="n"/>
      <c r="T1" s="61" t="n"/>
      <c r="U1" s="61" t="n"/>
    </row>
    <row r="2" ht="45.75" customFormat="1" customHeight="1" s="20">
      <c r="A2" s="45" t="inlineStr">
        <is>
          <t>TT</t>
        </is>
      </c>
      <c r="B2" s="45" t="inlineStr">
        <is>
          <t>Ngày nộp hồ sơ</t>
        </is>
      </c>
      <c r="C2" s="45" t="inlineStr">
        <is>
          <t>Tên dự án</t>
        </is>
      </c>
      <c r="D2" s="45" t="inlineStr">
        <is>
          <t>Họ và Tên</t>
        </is>
      </c>
      <c r="E2" s="55" t="inlineStr">
        <is>
          <t>Số điện thoại</t>
        </is>
      </c>
      <c r="F2" s="62" t="inlineStr">
        <is>
          <t>Ngày sinh</t>
        </is>
      </c>
      <c r="G2" s="62" t="inlineStr">
        <is>
          <t>Tháng sinh</t>
        </is>
      </c>
      <c r="H2" s="45" t="inlineStr">
        <is>
          <t>Năm sinh</t>
        </is>
      </c>
      <c r="I2" s="45" t="inlineStr">
        <is>
          <t>Thông tin cư dân</t>
        </is>
      </c>
      <c r="J2" s="63" t="n"/>
      <c r="K2" s="45" t="inlineStr">
        <is>
          <t>Nghề nghiệp</t>
        </is>
      </c>
      <c r="L2" s="45" t="inlineStr">
        <is>
          <t>Đối tượng chính sách được hưởng nhà ở xã hội</t>
        </is>
      </c>
      <c r="M2" s="45" t="inlineStr">
        <is>
          <t>Cơ quan xác nhận về đối tượng</t>
        </is>
      </c>
      <c r="N2" s="45" t="inlineStr">
        <is>
          <t>Điều kiện nhà ở
(Mô tả đúng hiện trạng nhà ở được VPĐKĐĐ xác nhận)</t>
        </is>
      </c>
      <c r="O2" s="45" t="inlineStr">
        <is>
          <t>Nơi ở hiện tại (thường xuyên sinh sống)</t>
        </is>
      </c>
      <c r="P2" s="64" t="n"/>
      <c r="Q2" s="63" t="n"/>
      <c r="R2" s="45" t="inlineStr">
        <is>
          <t>Điều kiện thu nhập (mô tả theo đúng nội dung Giấy xác nhận)</t>
        </is>
      </c>
      <c r="S2" s="45" t="inlineStr">
        <is>
          <t>Quan hệ với chủ hộ</t>
        </is>
      </c>
      <c r="T2" s="45" t="inlineStr">
        <is>
          <t>Thông tin căn hộ dự kiến mua/thuê mua</t>
        </is>
      </c>
      <c r="U2" s="63" t="n"/>
      <c r="V2" s="19" t="n"/>
    </row>
    <row r="3" ht="45.75" customFormat="1" customHeight="1" s="20">
      <c r="A3" s="65" t="n"/>
      <c r="B3" s="65" t="n"/>
      <c r="C3" s="65" t="n"/>
      <c r="D3" s="65" t="n"/>
      <c r="E3" s="65" t="n"/>
      <c r="F3" s="65" t="n"/>
      <c r="G3" s="65" t="n"/>
      <c r="H3" s="65" t="n"/>
      <c r="I3" s="66" t="inlineStr">
        <is>
          <t>Số CMND</t>
        </is>
      </c>
      <c r="J3" s="67" t="inlineStr">
        <is>
          <t>Số CCCD</t>
        </is>
      </c>
      <c r="K3" s="65" t="n"/>
      <c r="L3" s="65" t="n"/>
      <c r="M3" s="65" t="n"/>
      <c r="N3" s="65" t="n"/>
      <c r="O3" s="45" t="inlineStr">
        <is>
          <t>Tỉnh</t>
        </is>
      </c>
      <c r="P3" s="45" t="inlineStr">
        <is>
          <t>Huyện/ Thành phố</t>
        </is>
      </c>
      <c r="Q3" s="45" t="inlineStr">
        <is>
          <t>Thị trấn/xã</t>
        </is>
      </c>
      <c r="R3" s="65" t="n"/>
      <c r="S3" s="65" t="n"/>
      <c r="T3" s="45" t="inlineStr">
        <is>
          <t>Số căn hộ</t>
        </is>
      </c>
      <c r="U3" s="26" t="inlineStr">
        <is>
          <t>Diện tích căn hộ (M2)</t>
        </is>
      </c>
      <c r="V3" s="19" t="n"/>
    </row>
    <row r="4" ht="51" customHeight="1">
      <c r="A4" s="44">
        <f>IF(T4="","",MAX($A$3:A3)+1)</f>
        <v/>
      </c>
      <c r="B4" s="44" t="n"/>
      <c r="C4" s="44" t="n"/>
      <c r="D4" s="44" t="inlineStr">
        <is>
          <t>Hoàng Thanh Hoa</t>
        </is>
      </c>
      <c r="E4" s="48" t="inlineStr">
        <is>
          <t>0961300766</t>
        </is>
      </c>
      <c r="F4" s="68" t="n">
        <v>18</v>
      </c>
      <c r="G4" s="68" t="n">
        <v>1</v>
      </c>
      <c r="H4" s="44" t="n">
        <v>1993</v>
      </c>
      <c r="I4" s="69" t="inlineStr">
        <is>
          <t>996373462</t>
        </is>
      </c>
      <c r="J4" s="70" t="inlineStr">
        <is>
          <t>999375624551</t>
        </is>
      </c>
      <c r="K4" s="56" t="inlineStr">
        <is>
          <t>Lao động tự do</t>
        </is>
      </c>
      <c r="L4" s="44" t="inlineStr">
        <is>
          <t>Người thu nhập thấp tại khu vực đô thị</t>
        </is>
      </c>
      <c r="M4" s="44" t="inlineStr">
        <is>
          <t>Công an Xã Yên Trung</t>
        </is>
      </c>
      <c r="N4" s="44" t="inlineStr">
        <is>
          <t>Chưa có nhà ở thuộc sở hữu của hộ gia đình</t>
        </is>
      </c>
      <c r="O4" s="44" t="inlineStr">
        <is>
          <t>Bắc Ninh</t>
        </is>
      </c>
      <c r="P4" s="44" t="n"/>
      <c r="Q4" s="44" t="inlineStr">
        <is>
          <t>Yên Trung</t>
        </is>
      </c>
      <c r="R4" s="44" t="inlineStr">
        <is>
          <t>Có thu nhập bình quân hàng tháng thực nhận không quá 50 triệu đồng</t>
        </is>
      </c>
      <c r="S4" s="44" t="inlineStr">
        <is>
          <t>Chủ hộ</t>
        </is>
      </c>
      <c r="T4" s="44" t="inlineStr">
        <is>
          <t>CTS-K-0211</t>
        </is>
      </c>
      <c r="U4" s="47" t="inlineStr">
        <is>
          <t>70.00</t>
        </is>
      </c>
    </row>
    <row r="5" ht="51" customHeight="1">
      <c r="A5" s="65" t="n"/>
      <c r="B5" s="44" t="n"/>
      <c r="C5" s="44" t="n"/>
      <c r="D5" s="44" t="inlineStr">
        <is>
          <t>Nguyễn Thu Hoa</t>
        </is>
      </c>
      <c r="E5" s="65" t="n"/>
      <c r="F5" s="68" t="n">
        <v>9</v>
      </c>
      <c r="G5" s="68" t="n">
        <v>5</v>
      </c>
      <c r="H5" s="44" t="n">
        <v>1997</v>
      </c>
      <c r="I5" s="69" t="inlineStr">
        <is>
          <t>998341428</t>
        </is>
      </c>
      <c r="J5" s="70" t="inlineStr">
        <is>
          <t>999659591699</t>
        </is>
      </c>
      <c r="K5" s="56" t="inlineStr">
        <is>
          <t>Lao động tự do</t>
        </is>
      </c>
      <c r="L5" s="44" t="inlineStr">
        <is>
          <t>Người thu nhập thấp tại khu vực đô thị</t>
        </is>
      </c>
      <c r="M5" s="44" t="inlineStr">
        <is>
          <t>Công an Xã Yên Trung</t>
        </is>
      </c>
      <c r="N5" s="65" t="n"/>
      <c r="O5" s="65" t="n"/>
      <c r="P5" s="44" t="n"/>
      <c r="Q5" s="65" t="n"/>
      <c r="R5" s="65" t="n"/>
      <c r="S5" s="44" t="inlineStr">
        <is>
          <t>Vợ (Chồng)</t>
        </is>
      </c>
      <c r="T5" s="65" t="n"/>
      <c r="U5" s="65" t="n"/>
    </row>
    <row r="6" ht="51" customHeight="1">
      <c r="A6" s="44">
        <f>IF(T6="","",MAX($A$3:A5)+1)</f>
        <v/>
      </c>
      <c r="B6" s="44" t="n"/>
      <c r="C6" s="44" t="n"/>
      <c r="D6" s="44" t="inlineStr">
        <is>
          <t>Đinh Tiến Quân</t>
        </is>
      </c>
      <c r="E6" s="48" t="inlineStr">
        <is>
          <t>0964920368</t>
        </is>
      </c>
      <c r="F6" s="68" t="n">
        <v>26</v>
      </c>
      <c r="G6" s="68" t="n">
        <v>6</v>
      </c>
      <c r="H6" s="44" t="n">
        <v>2005</v>
      </c>
      <c r="I6" s="69" t="n"/>
      <c r="J6" s="70" t="inlineStr">
        <is>
          <t>999390889030</t>
        </is>
      </c>
      <c r="K6" s="56" t="inlineStr">
        <is>
          <t>Người lao động làm việc tại doanh nghiệp</t>
        </is>
      </c>
      <c r="L6" s="44" t="inlineStr">
        <is>
          <t>Người lao động đang làm việc tại các doanh nghiệp trong và ngoài khu công nghiệp</t>
        </is>
      </c>
      <c r="M6" s="44" t="inlineStr">
        <is>
          <t>Công ty TNHH Optical Weilan Việt Nam</t>
        </is>
      </c>
      <c r="N6" s="44" t="inlineStr">
        <is>
          <t>Chưa có nhà ở thuộc sở hữu của hộ gia đình</t>
        </is>
      </c>
      <c r="O6" s="44" t="inlineStr">
        <is>
          <t>Bắc Ninh</t>
        </is>
      </c>
      <c r="P6" s="44" t="n"/>
      <c r="Q6" s="44" t="inlineStr">
        <is>
          <t>Yên Trung</t>
        </is>
      </c>
      <c r="R6" s="44" t="inlineStr">
        <is>
          <t>Có thu nhập bình quân hàng tháng thực nhận không quá 25 triệu đồng</t>
        </is>
      </c>
      <c r="S6" s="44" t="inlineStr">
        <is>
          <t>Chủ hộ</t>
        </is>
      </c>
      <c r="T6" s="44" t="inlineStr">
        <is>
          <t>CTS-K-0307</t>
        </is>
      </c>
      <c r="U6" s="57" t="inlineStr">
        <is>
          <t>71.50</t>
        </is>
      </c>
    </row>
    <row r="7" ht="51" customHeight="1">
      <c r="A7" s="44" t="n">
        <v>3</v>
      </c>
      <c r="B7" s="44" t="n"/>
      <c r="C7" s="44" t="n"/>
      <c r="D7" s="44" t="inlineStr">
        <is>
          <t>Hoàng Ngọc Lan</t>
        </is>
      </c>
      <c r="E7" s="48" t="inlineStr">
        <is>
          <t>0949349371</t>
        </is>
      </c>
      <c r="F7" s="68" t="n">
        <v>28</v>
      </c>
      <c r="G7" s="68" t="n">
        <v>10</v>
      </c>
      <c r="H7" s="44" t="n">
        <v>1997</v>
      </c>
      <c r="I7" s="69" t="inlineStr">
        <is>
          <t>995856665</t>
        </is>
      </c>
      <c r="J7" s="70" t="inlineStr">
        <is>
          <t>999165478880</t>
        </is>
      </c>
      <c r="K7" s="56" t="inlineStr">
        <is>
          <t>Lao động tự do</t>
        </is>
      </c>
      <c r="L7" s="44" t="inlineStr">
        <is>
          <t>Người thu nhập thấp tại khu vực đô thị</t>
        </is>
      </c>
      <c r="M7" s="44" t="inlineStr">
        <is>
          <t>Công an Phường Tây Mỗ</t>
        </is>
      </c>
      <c r="N7" s="44" t="inlineStr">
        <is>
          <t>Chưa có nhà ở thuộc sở hữu của hộ gia đình</t>
        </is>
      </c>
      <c r="O7" s="44" t="inlineStr">
        <is>
          <t>Hà Nội</t>
        </is>
      </c>
      <c r="P7" s="44" t="n"/>
      <c r="Q7" s="44" t="inlineStr">
        <is>
          <t>Tây Mỗ</t>
        </is>
      </c>
      <c r="R7" s="44" t="inlineStr">
        <is>
          <t>Có thu nhập bình quân hàng tháng thực nhận không quá 50 triệu đồng</t>
        </is>
      </c>
      <c r="S7" s="44" t="inlineStr">
        <is>
          <t>Chủ hộ</t>
        </is>
      </c>
      <c r="T7" s="44" t="inlineStr">
        <is>
          <t>CTS-K-0502</t>
        </is>
      </c>
      <c r="U7" s="47" t="inlineStr">
        <is>
          <t>69.50</t>
        </is>
      </c>
    </row>
    <row r="8" ht="51" customHeight="1">
      <c r="A8" s="65" t="n"/>
      <c r="B8" s="44" t="n"/>
      <c r="C8" s="44" t="n"/>
      <c r="D8" s="44" t="inlineStr">
        <is>
          <t>Lê Thu Lan</t>
        </is>
      </c>
      <c r="E8" s="65" t="n"/>
      <c r="F8" s="68" t="n">
        <v>17</v>
      </c>
      <c r="G8" s="68" t="n">
        <v>8</v>
      </c>
      <c r="H8" s="44" t="n">
        <v>1995</v>
      </c>
      <c r="I8" s="69" t="inlineStr">
        <is>
          <t>997092405</t>
        </is>
      </c>
      <c r="J8" s="70" t="inlineStr">
        <is>
          <t>999231833398</t>
        </is>
      </c>
      <c r="K8" s="56" t="inlineStr">
        <is>
          <t>Người lao động làm việc tại doanh nghiệp</t>
        </is>
      </c>
      <c r="L8" s="44" t="inlineStr">
        <is>
          <t>Người lao động đang làm việc tại các doanh nghiệp trong và ngoài khu công nghiệp</t>
        </is>
      </c>
      <c r="M8" s="44" t="inlineStr">
        <is>
          <t>Công ty TNHH Samsung Display Việt Nam</t>
        </is>
      </c>
      <c r="N8" s="65" t="n"/>
      <c r="O8" s="65" t="n"/>
      <c r="P8" s="44" t="n"/>
      <c r="Q8" s="65" t="n"/>
      <c r="R8" s="65" t="n"/>
      <c r="S8" s="44" t="inlineStr">
        <is>
          <t>Vợ (Chồng)</t>
        </is>
      </c>
      <c r="T8" s="65" t="n"/>
      <c r="U8" s="65" t="n"/>
    </row>
    <row r="9" ht="51" customFormat="1" customHeight="1" s="18">
      <c r="A9" s="46" t="n">
        <v>4</v>
      </c>
      <c r="B9" s="46" t="n"/>
      <c r="C9" s="46" t="n"/>
      <c r="D9" s="46" t="inlineStr">
        <is>
          <t>Ngô Minh Sơn</t>
        </is>
      </c>
      <c r="E9" s="58" t="inlineStr">
        <is>
          <t>0953908425</t>
        </is>
      </c>
      <c r="F9" s="71" t="n">
        <v>17</v>
      </c>
      <c r="G9" s="71" t="n">
        <v>11</v>
      </c>
      <c r="H9" s="46" t="n">
        <v>1991</v>
      </c>
      <c r="I9" s="72" t="inlineStr">
        <is>
          <t>992380355</t>
        </is>
      </c>
      <c r="J9" s="73" t="inlineStr">
        <is>
          <t>999126789021</t>
        </is>
      </c>
      <c r="K9" s="36" t="inlineStr">
        <is>
          <t>Lao động tự do</t>
        </is>
      </c>
      <c r="L9" s="44" t="inlineStr">
        <is>
          <t>Người thu nhập thấp tại khu vực đô thị</t>
        </is>
      </c>
      <c r="M9" s="46" t="inlineStr">
        <is>
          <t>Công an Phường Xuân Phương</t>
        </is>
      </c>
      <c r="N9" s="46" t="inlineStr">
        <is>
          <t>Chưa có nhà ở thuộc sở hữu của hộ gia đình</t>
        </is>
      </c>
      <c r="O9" s="46" t="inlineStr">
        <is>
          <t>Hà Nội</t>
        </is>
      </c>
      <c r="P9" s="46" t="n"/>
      <c r="Q9" s="46" t="inlineStr">
        <is>
          <t>Xuân Phương</t>
        </is>
      </c>
      <c r="R9" s="46" t="inlineStr">
        <is>
          <t>Có thu nhập bình quân hàng tháng thực nhận không quá 50 triệu đồng</t>
        </is>
      </c>
      <c r="S9" s="46" t="inlineStr">
        <is>
          <t>Chủ hộ</t>
        </is>
      </c>
      <c r="T9" s="46" t="inlineStr">
        <is>
          <t>CTS-K-0603</t>
        </is>
      </c>
      <c r="U9" s="57" t="inlineStr">
        <is>
          <t>51.10</t>
        </is>
      </c>
      <c r="V9" s="17" t="n"/>
    </row>
    <row r="10" ht="51" customFormat="1" customHeight="1" s="18">
      <c r="A10" s="65" t="n"/>
      <c r="B10" s="46" t="n"/>
      <c r="C10" s="46" t="n"/>
      <c r="D10" s="46" t="inlineStr">
        <is>
          <t>Lý Minh Giang</t>
        </is>
      </c>
      <c r="E10" s="65" t="n"/>
      <c r="F10" s="71" t="n">
        <v>1</v>
      </c>
      <c r="G10" s="71" t="n">
        <v>6</v>
      </c>
      <c r="H10" s="46" t="n">
        <v>1994</v>
      </c>
      <c r="I10" s="72" t="inlineStr">
        <is>
          <t>998423272</t>
        </is>
      </c>
      <c r="J10" s="73" t="inlineStr">
        <is>
          <t>999504482722</t>
        </is>
      </c>
      <c r="K10" s="36" t="inlineStr">
        <is>
          <t>Lao động tự do</t>
        </is>
      </c>
      <c r="L10" s="44" t="inlineStr">
        <is>
          <t>Người thu nhập thấp tại khu vực đô thị</t>
        </is>
      </c>
      <c r="M10" s="46" t="inlineStr">
        <is>
          <t>Công an Phường Xuân Phương</t>
        </is>
      </c>
      <c r="N10" s="65" t="n"/>
      <c r="O10" s="65" t="n"/>
      <c r="P10" s="46" t="n"/>
      <c r="Q10" s="65" t="n"/>
      <c r="R10" s="65" t="n"/>
      <c r="S10" s="46" t="inlineStr">
        <is>
          <t>Vợ (Chồng)</t>
        </is>
      </c>
      <c r="T10" s="65" t="n"/>
      <c r="U10" s="65" t="n"/>
      <c r="V10" s="17" t="n"/>
    </row>
    <row r="11" ht="51" customHeight="1">
      <c r="A11" s="44" t="n">
        <v>5</v>
      </c>
      <c r="B11" s="44" t="n"/>
      <c r="C11" s="44" t="n"/>
      <c r="D11" s="44" t="inlineStr">
        <is>
          <t>Hoàng Ngọc Hà</t>
        </is>
      </c>
      <c r="E11" s="48" t="inlineStr">
        <is>
          <t>0962216741</t>
        </is>
      </c>
      <c r="F11" s="68" t="n">
        <v>1</v>
      </c>
      <c r="G11" s="68" t="n">
        <v>2</v>
      </c>
      <c r="H11" s="44" t="n">
        <v>1994</v>
      </c>
      <c r="I11" s="69" t="inlineStr">
        <is>
          <t>992141156</t>
        </is>
      </c>
      <c r="J11" s="70" t="inlineStr">
        <is>
          <t>999382354177</t>
        </is>
      </c>
      <c r="K11" s="56" t="inlineStr">
        <is>
          <t>Người lao động làm việc tại doanh nghiệp</t>
        </is>
      </c>
      <c r="L11" s="44" t="inlineStr">
        <is>
          <t>Người lao động đang làm việc tại các doanh nghiệp trong và ngoài khu công nghiệp</t>
        </is>
      </c>
      <c r="M11" s="44" t="inlineStr">
        <is>
          <t>Công ty TNHH Samsung Display Việt Nam</t>
        </is>
      </c>
      <c r="N11" s="44" t="inlineStr">
        <is>
          <t>Chưa có nhà ở thuộc sở hữu của hộ gia đình</t>
        </is>
      </c>
      <c r="O11" s="44" t="inlineStr">
        <is>
          <t>Hà Nội</t>
        </is>
      </c>
      <c r="P11" s="44" t="n"/>
      <c r="Q11" s="44" t="inlineStr">
        <is>
          <t>Tương Mai</t>
        </is>
      </c>
      <c r="R11" s="44" t="inlineStr">
        <is>
          <t>Có thu nhập bình quân hàng tháng thực nhận không quá 50 triệu đồng</t>
        </is>
      </c>
      <c r="S11" s="44" t="inlineStr">
        <is>
          <t>Chủ hộ</t>
        </is>
      </c>
      <c r="T11" s="44" t="inlineStr">
        <is>
          <t>CTS-K-0702</t>
        </is>
      </c>
      <c r="U11" s="47" t="inlineStr">
        <is>
          <t>69.50</t>
        </is>
      </c>
    </row>
    <row r="12" ht="51" customHeight="1">
      <c r="A12" s="65" t="n"/>
      <c r="B12" s="44" t="n"/>
      <c r="C12" s="44" t="n"/>
      <c r="D12" s="44" t="inlineStr">
        <is>
          <t>Phan Ngọc Trang</t>
        </is>
      </c>
      <c r="E12" s="65" t="n"/>
      <c r="F12" s="68" t="n">
        <v>14</v>
      </c>
      <c r="G12" s="68" t="n">
        <v>2</v>
      </c>
      <c r="H12" s="44" t="n">
        <v>1996</v>
      </c>
      <c r="I12" s="69" t="inlineStr">
        <is>
          <t>991219173</t>
        </is>
      </c>
      <c r="J12" s="70" t="inlineStr">
        <is>
          <t>999702262658</t>
        </is>
      </c>
      <c r="K12" s="56" t="inlineStr">
        <is>
          <t>Người lao động làm việc tại doanh nghiệp</t>
        </is>
      </c>
      <c r="L12" s="44" t="inlineStr">
        <is>
          <t>Người lao động đang làm việc tại các doanh nghiệp trong và ngoài khu công nghiệp</t>
        </is>
      </c>
      <c r="M12" s="44" t="inlineStr">
        <is>
          <t>Công ty TNHH Edtech Cole</t>
        </is>
      </c>
      <c r="N12" s="65" t="n"/>
      <c r="O12" s="65" t="n"/>
      <c r="P12" s="44" t="n"/>
      <c r="Q12" s="65" t="n"/>
      <c r="R12" s="65" t="n"/>
      <c r="S12" s="44" t="inlineStr">
        <is>
          <t>Vợ (Chồng)</t>
        </is>
      </c>
      <c r="T12" s="65" t="n"/>
      <c r="U12" s="65" t="n"/>
    </row>
    <row r="13" ht="51" customHeight="1">
      <c r="A13" s="44">
        <f>IF(T13="","",MAX($A$3:A12)+1)</f>
        <v/>
      </c>
      <c r="B13" s="44" t="n"/>
      <c r="C13" s="44" t="n"/>
      <c r="D13" s="44" t="inlineStr">
        <is>
          <t>Bùi Văn Hùng</t>
        </is>
      </c>
      <c r="E13" s="48" t="inlineStr">
        <is>
          <t>0985290406</t>
        </is>
      </c>
      <c r="F13" s="68" t="n">
        <v>5</v>
      </c>
      <c r="G13" s="68" t="n">
        <v>8</v>
      </c>
      <c r="H13" s="44" t="n">
        <v>1998</v>
      </c>
      <c r="I13" s="69" t="inlineStr">
        <is>
          <t>994584676</t>
        </is>
      </c>
      <c r="J13" s="70" t="inlineStr">
        <is>
          <t>999992877913</t>
        </is>
      </c>
      <c r="K13" s="56" t="inlineStr">
        <is>
          <t>Người lao động làm việc tại doanh nghiệp</t>
        </is>
      </c>
      <c r="L13" s="44" t="inlineStr">
        <is>
          <t>Người lao động đang làm việc tại các doanh nghiệp trong và ngoài khu công nghiệp</t>
        </is>
      </c>
      <c r="M13" s="44" t="inlineStr">
        <is>
          <t>Công ty TNHH Samsung Electronics Việt Nam</t>
        </is>
      </c>
      <c r="N13" s="44" t="inlineStr">
        <is>
          <t>Chưa có nhà ở thuộc sở hữu của hộ gia đình</t>
        </is>
      </c>
      <c r="O13" s="44" t="inlineStr">
        <is>
          <t>Bắc Ninh</t>
        </is>
      </c>
      <c r="P13" s="44" t="n"/>
      <c r="Q13" s="44" t="inlineStr">
        <is>
          <t>Tây Yên Tử</t>
        </is>
      </c>
      <c r="R13" s="44" t="inlineStr">
        <is>
          <t>Có thu nhập bình quân hàng tháng thực nhận không quá 25 triệu đồng</t>
        </is>
      </c>
      <c r="S13" s="44" t="inlineStr">
        <is>
          <t>Chủ hộ</t>
        </is>
      </c>
      <c r="T13" s="44" t="inlineStr">
        <is>
          <t>CTS-K-0711</t>
        </is>
      </c>
      <c r="U13" s="47" t="inlineStr">
        <is>
          <t>70.00</t>
        </is>
      </c>
    </row>
    <row r="14" ht="51" customHeight="1">
      <c r="A14" s="44">
        <f>IF(T14="","",MAX($A$3:A13)+1)</f>
        <v/>
      </c>
      <c r="B14" s="44" t="n"/>
      <c r="C14" s="44" t="n"/>
      <c r="D14" s="44" t="inlineStr">
        <is>
          <t>Phan Minh Bình</t>
        </is>
      </c>
      <c r="E14" s="48" t="inlineStr">
        <is>
          <t>0920379623</t>
        </is>
      </c>
      <c r="F14" s="68" t="n">
        <v>1</v>
      </c>
      <c r="G14" s="68" t="n">
        <v>3</v>
      </c>
      <c r="H14" s="44" t="n">
        <v>2000</v>
      </c>
      <c r="I14" s="69" t="inlineStr">
        <is>
          <t>995157070</t>
        </is>
      </c>
      <c r="J14" s="70" t="inlineStr">
        <is>
          <t>999104016504</t>
        </is>
      </c>
      <c r="K14" s="56" t="inlineStr">
        <is>
          <t>Cán bộ, công chức, viên chức</t>
        </is>
      </c>
      <c r="L14" s="44" t="inlineStr">
        <is>
          <t>Cán bộ, công chức, viên chức theo quy định của pháp luật về cán bộ, công chức, viên chức</t>
        </is>
      </c>
      <c r="M14" s="44" t="inlineStr">
        <is>
          <t>Trường THCS Đông Tiến</t>
        </is>
      </c>
      <c r="N14" s="44" t="inlineStr">
        <is>
          <t>Chưa có nhà ở thuộc sở hữu của hộ gia đình</t>
        </is>
      </c>
      <c r="O14" s="44" t="inlineStr">
        <is>
          <t>Bắc Ninh</t>
        </is>
      </c>
      <c r="P14" s="44" t="n"/>
      <c r="Q14" s="44" t="inlineStr">
        <is>
          <t>Văn Môn</t>
        </is>
      </c>
      <c r="R14" s="44" t="inlineStr">
        <is>
          <t>Có thu nhập bình quân hàng tháng thực nhận không quá 25 triệu đồng</t>
        </is>
      </c>
      <c r="S14" s="44" t="inlineStr">
        <is>
          <t>Chủ hộ</t>
        </is>
      </c>
      <c r="T14" s="44" t="inlineStr">
        <is>
          <t>CTS-K-0808</t>
        </is>
      </c>
      <c r="U14" s="47" t="inlineStr">
        <is>
          <t>70.00</t>
        </is>
      </c>
    </row>
    <row r="15" ht="51" customHeight="1">
      <c r="A15" s="44">
        <f>IF(T15="","",MAX($A$3:A14)+1)</f>
        <v/>
      </c>
      <c r="B15" s="44" t="n"/>
      <c r="C15" s="44" t="n"/>
      <c r="D15" s="44" t="inlineStr">
        <is>
          <t>Ngô Minh Hạnh</t>
        </is>
      </c>
      <c r="E15" s="48" t="inlineStr">
        <is>
          <t>0957683686</t>
        </is>
      </c>
      <c r="F15" s="68" t="n">
        <v>10</v>
      </c>
      <c r="G15" s="68" t="n">
        <v>8</v>
      </c>
      <c r="H15" s="44" t="n">
        <v>1997</v>
      </c>
      <c r="I15" s="69" t="inlineStr">
        <is>
          <t>999809784</t>
        </is>
      </c>
      <c r="J15" s="70" t="inlineStr">
        <is>
          <t>999432854569</t>
        </is>
      </c>
      <c r="K15" s="56" t="inlineStr">
        <is>
          <t>Người lao động làm việc tại doanh nghiệp</t>
        </is>
      </c>
      <c r="L15" s="44" t="inlineStr">
        <is>
          <t>Người lao động đang làm việc tại các doanh nghiệp trong và ngoài khu công nghiệp</t>
        </is>
      </c>
      <c r="M15" s="44" t="inlineStr">
        <is>
          <t>Công ty TNHH Tân Thượng Chính</t>
        </is>
      </c>
      <c r="N15" s="44" t="inlineStr">
        <is>
          <t>Chưa có nhà ở thuộc sở hữu của hộ gia đình</t>
        </is>
      </c>
      <c r="O15" s="44" t="inlineStr">
        <is>
          <t>Bắc Ninh</t>
        </is>
      </c>
      <c r="P15" s="44" t="n"/>
      <c r="Q15" s="44" t="inlineStr">
        <is>
          <t>Phương Liễu</t>
        </is>
      </c>
      <c r="R15" s="44" t="inlineStr">
        <is>
          <t>Có thu nhập bình quân hàng tháng thực nhận không quá 25 triệu đồng</t>
        </is>
      </c>
      <c r="S15" s="44" t="inlineStr">
        <is>
          <t>Chủ hộ</t>
        </is>
      </c>
      <c r="T15" s="44" t="inlineStr">
        <is>
          <t>CTS-K-0813</t>
        </is>
      </c>
      <c r="U15" s="47" t="inlineStr">
        <is>
          <t>70.00</t>
        </is>
      </c>
    </row>
    <row r="16" ht="51" customHeight="1">
      <c r="A16" s="44">
        <f>IF(T16="","",MAX($A$3:A15)+1)</f>
        <v/>
      </c>
      <c r="B16" s="44" t="n"/>
      <c r="C16" s="44" t="n"/>
      <c r="D16" s="44" t="inlineStr">
        <is>
          <t>Đặng Quang Dũng</t>
        </is>
      </c>
      <c r="E16" s="48" t="inlineStr">
        <is>
          <t>0986531270</t>
        </is>
      </c>
      <c r="F16" s="68" t="n">
        <v>4</v>
      </c>
      <c r="G16" s="68" t="n">
        <v>12</v>
      </c>
      <c r="H16" s="44" t="n">
        <v>1987</v>
      </c>
      <c r="I16" s="69" t="inlineStr">
        <is>
          <t>996963902</t>
        </is>
      </c>
      <c r="J16" s="70" t="inlineStr">
        <is>
          <t>999518390358</t>
        </is>
      </c>
      <c r="K16" s="56" t="inlineStr">
        <is>
          <t>Người lao động làm việc tại doanh nghiệp</t>
        </is>
      </c>
      <c r="L16" s="44" t="inlineStr">
        <is>
          <t>Người lao động đang làm việc tại các doanh nghiệp trong và ngoài khu công nghiệp</t>
        </is>
      </c>
      <c r="M16" s="44" t="inlineStr">
        <is>
          <t>Công ty cổ phần Vinpearl chi nhánh Hà Nam</t>
        </is>
      </c>
      <c r="N16" s="44" t="inlineStr">
        <is>
          <t>Chưa có nhà ở thuộc sở hữu của hộ gia đình</t>
        </is>
      </c>
      <c r="O16" s="44" t="inlineStr">
        <is>
          <t>Ninh Bình</t>
        </is>
      </c>
      <c r="P16" s="44" t="n"/>
      <c r="Q16" s="44" t="inlineStr">
        <is>
          <t>Nam Xang</t>
        </is>
      </c>
      <c r="R16" s="44" t="inlineStr">
        <is>
          <t>Có thu nhập bình quân hàng tháng thực nhận không quá 50 triệu đồng</t>
        </is>
      </c>
      <c r="S16" s="44" t="inlineStr">
        <is>
          <t>Chủ hộ</t>
        </is>
      </c>
      <c r="T16" s="44" t="inlineStr">
        <is>
          <t>CTS-L-0511</t>
        </is>
      </c>
      <c r="U16" s="47" t="inlineStr">
        <is>
          <t>70.00</t>
        </is>
      </c>
    </row>
    <row r="17" ht="51" customHeight="1">
      <c r="A17" s="65" t="n"/>
      <c r="B17" s="44" t="n"/>
      <c r="C17" s="44" t="n"/>
      <c r="D17" s="44" t="inlineStr">
        <is>
          <t>Trịnh Thị Thảo</t>
        </is>
      </c>
      <c r="E17" s="65" t="n"/>
      <c r="F17" s="68" t="n">
        <v>3</v>
      </c>
      <c r="G17" s="68" t="n">
        <v>2</v>
      </c>
      <c r="H17" s="44" t="n">
        <v>1989</v>
      </c>
      <c r="I17" s="69" t="inlineStr">
        <is>
          <t>997784986</t>
        </is>
      </c>
      <c r="J17" s="70" t="inlineStr">
        <is>
          <t>999793214258</t>
        </is>
      </c>
      <c r="K17" s="56" t="inlineStr">
        <is>
          <t>Cán bộ, công chức, viên chức</t>
        </is>
      </c>
      <c r="L17" s="44" t="inlineStr">
        <is>
          <t>Cán bộ, công chức, viên chức theo quy định của pháp luật về cán bộ, công chức, viên chức</t>
        </is>
      </c>
      <c r="M17" s="44" t="inlineStr">
        <is>
          <t>Trường Mầm Non Đức Lý</t>
        </is>
      </c>
      <c r="N17" s="65" t="n"/>
      <c r="O17" s="65" t="n"/>
      <c r="P17" s="44" t="n"/>
      <c r="Q17" s="65" t="n"/>
      <c r="R17" s="65" t="n"/>
      <c r="S17" s="44" t="inlineStr">
        <is>
          <t>Vợ (Chồng)</t>
        </is>
      </c>
      <c r="T17" s="65" t="n"/>
      <c r="U17" s="65" t="n"/>
    </row>
    <row r="18" ht="51" customHeight="1">
      <c r="A18" s="44">
        <f>IF(T18="","",MAX($A$3:A17)+1)</f>
        <v/>
      </c>
      <c r="B18" s="44" t="n"/>
      <c r="C18" s="44" t="n"/>
      <c r="D18" s="44" t="inlineStr">
        <is>
          <t>Trịnh Khánh Thảo</t>
        </is>
      </c>
      <c r="E18" s="48" t="inlineStr">
        <is>
          <t>0909747738</t>
        </is>
      </c>
      <c r="F18" s="68" t="n">
        <v>14</v>
      </c>
      <c r="G18" s="68" t="n">
        <v>4</v>
      </c>
      <c r="H18" s="44" t="n">
        <v>2000</v>
      </c>
      <c r="I18" s="69" t="n"/>
      <c r="J18" s="70" t="inlineStr">
        <is>
          <t>999914805663</t>
        </is>
      </c>
      <c r="K18" s="56" t="inlineStr">
        <is>
          <t>Người lao động làm việc tại doanh nghiệp</t>
        </is>
      </c>
      <c r="L18" s="44" t="inlineStr">
        <is>
          <t>Người lao động đang làm việc tại các doanh nghiệp trong và ngoài khu công nghiệp</t>
        </is>
      </c>
      <c r="M18" s="44" t="inlineStr">
        <is>
          <t>Công ty cổ phần may Minh Anh Khoái Châu</t>
        </is>
      </c>
      <c r="N18" s="44" t="inlineStr">
        <is>
          <t>Chưa có nhà ở thuộc sở hữu của hộ gia đình</t>
        </is>
      </c>
      <c r="O18" s="44" t="inlineStr">
        <is>
          <t>Hưng Yên</t>
        </is>
      </c>
      <c r="P18" s="44" t="n"/>
      <c r="Q18" s="44" t="inlineStr">
        <is>
          <t>Châu Ninh</t>
        </is>
      </c>
      <c r="R18" s="44" t="inlineStr">
        <is>
          <t>Có thu nhập bình quân hàng tháng thực nhận không quá 25 triệu đồng</t>
        </is>
      </c>
      <c r="S18" s="44" t="inlineStr">
        <is>
          <t>Chủ hộ</t>
        </is>
      </c>
      <c r="T18" s="44" t="inlineStr">
        <is>
          <t>CTS-L-0212</t>
        </is>
      </c>
      <c r="U18" s="47" t="inlineStr">
        <is>
          <t>70.00</t>
        </is>
      </c>
    </row>
    <row r="19" ht="51" customHeight="1">
      <c r="A19" s="44">
        <f>IF(T19="","",MAX($A$3:A18)+1)</f>
        <v/>
      </c>
      <c r="B19" s="44" t="n"/>
      <c r="C19" s="44" t="n"/>
      <c r="D19" s="44" t="inlineStr">
        <is>
          <t>Nguyễn Quang Dũng</t>
        </is>
      </c>
      <c r="E19" s="48" t="inlineStr">
        <is>
          <t>0944015838</t>
        </is>
      </c>
      <c r="F19" s="68" t="n">
        <v>23</v>
      </c>
      <c r="G19" s="68" t="n">
        <v>9</v>
      </c>
      <c r="H19" s="44" t="n">
        <v>1991</v>
      </c>
      <c r="I19" s="69" t="inlineStr">
        <is>
          <t>996196876</t>
        </is>
      </c>
      <c r="J19" s="70" t="inlineStr">
        <is>
          <t>999567321512</t>
        </is>
      </c>
      <c r="K19" s="56" t="inlineStr">
        <is>
          <t>Người lao động làm việc tại doanh nghiệp</t>
        </is>
      </c>
      <c r="L19" s="44" t="inlineStr">
        <is>
          <t>Người lao động đang làm việc tại các doanh nghiệp trong và ngoài khu công nghiệp</t>
        </is>
      </c>
      <c r="M19" s="44" t="inlineStr">
        <is>
          <t>Công ty TNHH SamSung Electronics Việt Nam</t>
        </is>
      </c>
      <c r="N19" s="44" t="inlineStr">
        <is>
          <t>Chưa có nhà ở thuộc sở hữu của hộ gia đình</t>
        </is>
      </c>
      <c r="O19" s="44" t="inlineStr">
        <is>
          <t>Bắc Ninh</t>
        </is>
      </c>
      <c r="P19" s="44" t="n"/>
      <c r="Q19" s="44" t="inlineStr">
        <is>
          <t>Đại Đồng</t>
        </is>
      </c>
      <c r="R19" s="44" t="inlineStr">
        <is>
          <t>Có thu nhập bình quân hàng tháng thực nhận không quá 50 triệu đồng</t>
        </is>
      </c>
      <c r="S19" s="44" t="inlineStr">
        <is>
          <t>Chủ hộ</t>
        </is>
      </c>
      <c r="T19" s="44" t="inlineStr">
        <is>
          <t>CTS-L-0403</t>
        </is>
      </c>
      <c r="U19" s="47" t="inlineStr">
        <is>
          <t>51.10</t>
        </is>
      </c>
    </row>
    <row r="20" ht="51" customHeight="1">
      <c r="A20" s="65" t="n"/>
      <c r="B20" s="44" t="n"/>
      <c r="C20" s="44" t="n"/>
      <c r="D20" s="44" t="inlineStr">
        <is>
          <t>Nguyễn Thu Trang</t>
        </is>
      </c>
      <c r="E20" s="65" t="n"/>
      <c r="F20" s="68" t="n">
        <v>22</v>
      </c>
      <c r="G20" s="68" t="n">
        <v>1</v>
      </c>
      <c r="H20" s="44" t="n">
        <v>1993</v>
      </c>
      <c r="I20" s="69" t="inlineStr">
        <is>
          <t>990894084</t>
        </is>
      </c>
      <c r="J20" s="70" t="inlineStr">
        <is>
          <t>999935317437</t>
        </is>
      </c>
      <c r="K20" s="56" t="inlineStr">
        <is>
          <t>Người lao động làm việc tại doanh nghiệp</t>
        </is>
      </c>
      <c r="L20" s="44" t="inlineStr">
        <is>
          <t>Người lao động đang làm việc tại các doanh nghiệp trong và ngoài khu công nghiệp</t>
        </is>
      </c>
      <c r="M20" s="44" t="inlineStr">
        <is>
          <t>Công ty TNHH ITM Semiconductor Việt Nam</t>
        </is>
      </c>
      <c r="N20" s="65" t="n"/>
      <c r="O20" s="65" t="n"/>
      <c r="P20" s="44" t="n"/>
      <c r="Q20" s="65" t="n"/>
      <c r="R20" s="65" t="n"/>
      <c r="S20" s="44" t="inlineStr">
        <is>
          <t>Vợ (Chồng)</t>
        </is>
      </c>
      <c r="T20" s="65" t="n"/>
      <c r="U20" s="65" t="n"/>
    </row>
    <row r="21" ht="51" customFormat="1" customHeight="1" s="15">
      <c r="A21" s="44" t="n">
        <v>12</v>
      </c>
      <c r="B21" s="44" t="n"/>
      <c r="C21" s="44" t="n"/>
      <c r="D21" s="44" t="inlineStr">
        <is>
          <t>Trịnh Minh Hải</t>
        </is>
      </c>
      <c r="E21" s="48" t="inlineStr">
        <is>
          <t>0962531216</t>
        </is>
      </c>
      <c r="F21" s="68" t="n">
        <v>2</v>
      </c>
      <c r="G21" s="68" t="n">
        <v>8</v>
      </c>
      <c r="H21" s="44" t="n">
        <v>1998</v>
      </c>
      <c r="I21" s="69" t="inlineStr">
        <is>
          <t>996126373</t>
        </is>
      </c>
      <c r="J21" s="70" t="inlineStr">
        <is>
          <t>999552671516</t>
        </is>
      </c>
      <c r="K21" s="56" t="inlineStr">
        <is>
          <t>Lao động tự do</t>
        </is>
      </c>
      <c r="L21" s="44" t="inlineStr">
        <is>
          <t>Người thu nhập thấp tại khu vực đô thị</t>
        </is>
      </c>
      <c r="M21" s="44" t="inlineStr">
        <is>
          <t>Công an Phường Lê Chân</t>
        </is>
      </c>
      <c r="N21" s="44" t="inlineStr">
        <is>
          <t>Chưa có nhà ở thuộc sở hữu của hộ gia đình</t>
        </is>
      </c>
      <c r="O21" s="44" t="inlineStr">
        <is>
          <t>Hải Phòng</t>
        </is>
      </c>
      <c r="P21" s="44" t="n"/>
      <c r="Q21" s="44" t="inlineStr">
        <is>
          <t>Lê Chân</t>
        </is>
      </c>
      <c r="R21" s="44" t="inlineStr">
        <is>
          <t>Có thu nhập bình quân hàng tháng thực nhận không quá 25 triệu đồng</t>
        </is>
      </c>
      <c r="S21" s="44" t="inlineStr">
        <is>
          <t>Chủ hộ</t>
        </is>
      </c>
      <c r="T21" s="44" t="inlineStr">
        <is>
          <t>CTS-L-0810</t>
        </is>
      </c>
      <c r="U21" s="47" t="inlineStr">
        <is>
          <t>70.00</t>
        </is>
      </c>
      <c r="V21" s="16" t="n"/>
    </row>
    <row r="22" ht="51" customHeight="1">
      <c r="A22" s="44">
        <f>IF(T22="","",MAX($A$3:A21)+1)</f>
        <v/>
      </c>
      <c r="B22" s="44" t="n"/>
      <c r="C22" s="44" t="n"/>
      <c r="D22" s="44" t="inlineStr">
        <is>
          <t>Hoàng Tiến Nam</t>
        </is>
      </c>
      <c r="E22" s="48" t="inlineStr">
        <is>
          <t>0970209409</t>
        </is>
      </c>
      <c r="F22" s="68" t="n">
        <v>14</v>
      </c>
      <c r="G22" s="68" t="n">
        <v>8</v>
      </c>
      <c r="H22" s="44" t="n">
        <v>1961</v>
      </c>
      <c r="I22" s="69" t="inlineStr">
        <is>
          <t>992320334</t>
        </is>
      </c>
      <c r="J22" s="70" t="inlineStr">
        <is>
          <t>999638520953</t>
        </is>
      </c>
      <c r="K22" s="56" t="inlineStr">
        <is>
          <t>Lao động tự do</t>
        </is>
      </c>
      <c r="L22" s="44" t="inlineStr">
        <is>
          <t>Người thu nhập thấp tại khu vực đô thị</t>
        </is>
      </c>
      <c r="M22" s="44" t="inlineStr">
        <is>
          <t>UBND Xã Nông Cống</t>
        </is>
      </c>
      <c r="N22" s="44" t="inlineStr">
        <is>
          <t>Chưa có nhà ở thuộc sở hữu của hộ gia đình</t>
        </is>
      </c>
      <c r="O22" s="44" t="inlineStr">
        <is>
          <t>Thanh Hóa</t>
        </is>
      </c>
      <c r="P22" s="44" t="n"/>
      <c r="Q22" s="44" t="inlineStr">
        <is>
          <t>Nông Cống</t>
        </is>
      </c>
      <c r="R22" s="44" t="inlineStr">
        <is>
          <t>Có thu nhập bình quân hàng tháng thực nhận không quá 25 triệu đồng</t>
        </is>
      </c>
      <c r="S22" s="44" t="inlineStr">
        <is>
          <t>Chủ hộ</t>
        </is>
      </c>
      <c r="T22" s="44" t="inlineStr">
        <is>
          <t>CTS-L-0811</t>
        </is>
      </c>
      <c r="U22" s="47" t="inlineStr">
        <is>
          <t>70.00</t>
        </is>
      </c>
    </row>
    <row r="23" ht="51" customHeight="1">
      <c r="A23" s="44">
        <f>IF(T23="","",MAX($A$3:A22)+1)</f>
        <v/>
      </c>
      <c r="B23" s="44" t="n"/>
      <c r="C23" s="44" t="n"/>
      <c r="D23" s="44" t="inlineStr">
        <is>
          <t>Phạm Xuân Hiếu</t>
        </is>
      </c>
      <c r="E23" s="48" t="inlineStr">
        <is>
          <t>0991941680</t>
        </is>
      </c>
      <c r="F23" s="68" t="n">
        <v>21</v>
      </c>
      <c r="G23" s="68" t="n">
        <v>4</v>
      </c>
      <c r="H23" s="44" t="n">
        <v>1990</v>
      </c>
      <c r="I23" s="69" t="inlineStr">
        <is>
          <t>997850249</t>
        </is>
      </c>
      <c r="J23" s="70" t="inlineStr">
        <is>
          <t>999840188836</t>
        </is>
      </c>
      <c r="K23" s="56" t="inlineStr">
        <is>
          <t>Cán bộ, công chức, viên chức</t>
        </is>
      </c>
      <c r="L23" s="44" t="inlineStr">
        <is>
          <t>Cán bộ, công chức, viên chức theo quy định của pháp luật về cán bộ, công chức, viên chức</t>
        </is>
      </c>
      <c r="M23" s="44" t="inlineStr">
        <is>
          <t>Trường PTDTBT TH Hồng Thu</t>
        </is>
      </c>
      <c r="N23" s="44" t="inlineStr">
        <is>
          <t>Chưa có nhà ở thuộc sở hữu của hộ gia đình</t>
        </is>
      </c>
      <c r="O23" s="44" t="inlineStr">
        <is>
          <t>Lai Châu</t>
        </is>
      </c>
      <c r="P23" s="44" t="n"/>
      <c r="Q23" s="44" t="inlineStr">
        <is>
          <t>Nậm Tăm</t>
        </is>
      </c>
      <c r="R23" s="44" t="inlineStr">
        <is>
          <t>Có thu nhập bình quân hàng tháng thực nhận không quá 25 triệu đồng</t>
        </is>
      </c>
      <c r="S23" s="44" t="inlineStr">
        <is>
          <t>Chủ hộ</t>
        </is>
      </c>
      <c r="T23" s="44" t="inlineStr">
        <is>
          <t>CTS-L-0901</t>
        </is>
      </c>
      <c r="U23" s="47" t="inlineStr">
        <is>
          <t>71.00</t>
        </is>
      </c>
    </row>
    <row r="24" ht="51" customHeight="1">
      <c r="A24" s="44">
        <f>IF(T24="","",MAX($A$3:A23)+1)</f>
        <v/>
      </c>
      <c r="B24" s="44" t="n"/>
      <c r="C24" s="44" t="n"/>
      <c r="D24" s="44" t="inlineStr">
        <is>
          <t>Hoàng Thanh Hà</t>
        </is>
      </c>
      <c r="E24" s="48" t="inlineStr">
        <is>
          <t>0908006476</t>
        </is>
      </c>
      <c r="F24" s="68" t="n">
        <v>21</v>
      </c>
      <c r="G24" s="68" t="n">
        <v>12</v>
      </c>
      <c r="H24" s="44" t="n">
        <v>1988</v>
      </c>
      <c r="I24" s="69" t="inlineStr">
        <is>
          <t>992141938</t>
        </is>
      </c>
      <c r="J24" s="70" t="inlineStr">
        <is>
          <t>999962833647</t>
        </is>
      </c>
      <c r="K24" s="56" t="inlineStr">
        <is>
          <t>Người lao động làm việc tại doanh nghiệp</t>
        </is>
      </c>
      <c r="L24" s="44" t="inlineStr">
        <is>
          <t>Người lao động đang làm việc tại các doanh nghiệp trong và ngoài khu công nghiệp</t>
        </is>
      </c>
      <c r="M24" s="44" t="inlineStr">
        <is>
          <t>Công ty TNHH Samsung Display Việt Nam</t>
        </is>
      </c>
      <c r="N24" s="44" t="inlineStr">
        <is>
          <t>Chưa có nhà ở thuộc sở hữu của hộ gia đình</t>
        </is>
      </c>
      <c r="O24" s="44" t="inlineStr">
        <is>
          <t>Bắc Ninh</t>
        </is>
      </c>
      <c r="P24" s="44" t="n"/>
      <c r="Q24" s="44" t="inlineStr">
        <is>
          <t>Yên Trung</t>
        </is>
      </c>
      <c r="R24" s="44" t="inlineStr">
        <is>
          <t>Có thu nhập bình quân hàng tháng thực nhận không quá 50 triệu đồng</t>
        </is>
      </c>
      <c r="S24" s="44" t="inlineStr">
        <is>
          <t>Chủ hộ</t>
        </is>
      </c>
      <c r="T24" s="44" t="inlineStr">
        <is>
          <t>CTS-M1-0302</t>
        </is>
      </c>
      <c r="U24" s="47" t="inlineStr">
        <is>
          <t>69.41</t>
        </is>
      </c>
    </row>
    <row r="25" ht="51" customHeight="1">
      <c r="A25" s="65" t="n"/>
      <c r="B25" s="44" t="n"/>
      <c r="C25" s="44" t="n"/>
      <c r="D25" s="44" t="inlineStr">
        <is>
          <t>Đinh Ngọc Anh</t>
        </is>
      </c>
      <c r="E25" s="65" t="n"/>
      <c r="F25" s="68" t="n">
        <v>21</v>
      </c>
      <c r="G25" s="68" t="n">
        <v>9</v>
      </c>
      <c r="H25" s="44" t="n">
        <v>1996</v>
      </c>
      <c r="I25" s="69" t="inlineStr">
        <is>
          <t>995695583</t>
        </is>
      </c>
      <c r="J25" s="70" t="inlineStr">
        <is>
          <t>999066746721</t>
        </is>
      </c>
      <c r="K25" s="56" t="inlineStr">
        <is>
          <t>Lao động tự do</t>
        </is>
      </c>
      <c r="L25" s="44" t="inlineStr">
        <is>
          <t>Người thu nhập thấp tại khu vực đô thị</t>
        </is>
      </c>
      <c r="M25" s="44" t="inlineStr">
        <is>
          <t>Công an Xã Ngự Thiên</t>
        </is>
      </c>
      <c r="N25" s="65" t="n"/>
      <c r="O25" s="65" t="n"/>
      <c r="P25" s="44" t="n"/>
      <c r="Q25" s="65" t="n"/>
      <c r="R25" s="65" t="n"/>
      <c r="S25" s="44" t="inlineStr">
        <is>
          <t>Vợ (Chồng)</t>
        </is>
      </c>
      <c r="T25" s="65" t="n"/>
      <c r="U25" s="65" t="n"/>
    </row>
    <row r="26" ht="51" customHeight="1">
      <c r="A26" s="44" t="n">
        <v>16</v>
      </c>
      <c r="B26" s="44" t="n"/>
      <c r="C26" s="44" t="n"/>
      <c r="D26" s="44" t="inlineStr">
        <is>
          <t>Đỗ Thanh Dung</t>
        </is>
      </c>
      <c r="E26" s="48" t="inlineStr">
        <is>
          <t>0998126498</t>
        </is>
      </c>
      <c r="F26" s="68" t="n">
        <v>27</v>
      </c>
      <c r="G26" s="68" t="n">
        <v>8</v>
      </c>
      <c r="H26" s="44" t="n">
        <v>1951</v>
      </c>
      <c r="I26" s="69" t="inlineStr">
        <is>
          <t>996614883</t>
        </is>
      </c>
      <c r="J26" s="70" t="inlineStr">
        <is>
          <t>999225840977</t>
        </is>
      </c>
      <c r="K26" s="56" t="inlineStr">
        <is>
          <t>Lao động tự do</t>
        </is>
      </c>
      <c r="L26" s="44" t="inlineStr">
        <is>
          <t>Người thu nhập thấp tại khu vực đô thị</t>
        </is>
      </c>
      <c r="M26" s="44" t="inlineStr">
        <is>
          <t>Công an Xã Tam Đa</t>
        </is>
      </c>
      <c r="N26" s="44" t="inlineStr">
        <is>
          <t>Chưa có nhà ở thuộc sở hữu của hộ gia đình</t>
        </is>
      </c>
      <c r="O26" s="44" t="inlineStr">
        <is>
          <t>Bắc Ninh</t>
        </is>
      </c>
      <c r="P26" s="44" t="n"/>
      <c r="Q26" s="44" t="inlineStr">
        <is>
          <t>Tam Đa</t>
        </is>
      </c>
      <c r="R26" s="44" t="inlineStr">
        <is>
          <t>Có thu nhập bình quân hàng tháng thực nhận không quá 25 triệu đồng</t>
        </is>
      </c>
      <c r="S26" s="44" t="inlineStr">
        <is>
          <t>Chủ hộ</t>
        </is>
      </c>
      <c r="T26" s="44" t="inlineStr">
        <is>
          <t>CTS-M1-0605</t>
        </is>
      </c>
      <c r="U26" s="47" t="inlineStr">
        <is>
          <t>45.98</t>
        </is>
      </c>
    </row>
    <row r="27" ht="51" customHeight="1">
      <c r="A27" s="44" t="n">
        <v>17</v>
      </c>
      <c r="B27" s="44" t="n"/>
      <c r="C27" s="44" t="n"/>
      <c r="D27" s="44" t="inlineStr">
        <is>
          <t>Trần Hữu Hiếu</t>
        </is>
      </c>
      <c r="E27" s="48" t="inlineStr">
        <is>
          <t>0911633930</t>
        </is>
      </c>
      <c r="F27" s="68" t="n">
        <v>17</v>
      </c>
      <c r="G27" s="68" t="n">
        <v>4</v>
      </c>
      <c r="H27" s="44" t="n">
        <v>1997</v>
      </c>
      <c r="I27" s="69" t="inlineStr">
        <is>
          <t>992885335</t>
        </is>
      </c>
      <c r="J27" s="70" t="inlineStr">
        <is>
          <t>999556846530</t>
        </is>
      </c>
      <c r="K27" s="56" t="inlineStr">
        <is>
          <t>Lao động tự do</t>
        </is>
      </c>
      <c r="L27" s="44" t="inlineStr">
        <is>
          <t>Người thu nhập thấp tại khu vực đô thị</t>
        </is>
      </c>
      <c r="M27" s="44" t="inlineStr">
        <is>
          <t>Công an Xã Tam Đa</t>
        </is>
      </c>
      <c r="N27" s="44" t="inlineStr">
        <is>
          <t>Chưa có nhà ở thuộc sở hữu của hộ gia đình</t>
        </is>
      </c>
      <c r="O27" s="44" t="inlineStr">
        <is>
          <t>Bắc Ninh</t>
        </is>
      </c>
      <c r="P27" s="44" t="n"/>
      <c r="Q27" s="44" t="inlineStr">
        <is>
          <t>Tam Đa</t>
        </is>
      </c>
      <c r="R27" s="44" t="inlineStr">
        <is>
          <t>Có thu nhập bình quân hàng tháng thực nhận không quá 25 triệu đồng</t>
        </is>
      </c>
      <c r="S27" s="44" t="inlineStr">
        <is>
          <t>Chủ hộ</t>
        </is>
      </c>
      <c r="T27" s="44" t="inlineStr">
        <is>
          <t>CTS-M1-0809</t>
        </is>
      </c>
      <c r="U27" s="47" t="inlineStr">
        <is>
          <t>46.07</t>
        </is>
      </c>
    </row>
    <row r="28" ht="51" customHeight="1">
      <c r="A28" s="44">
        <f>IF(T28="","",MAX($A$3:A27)+1)</f>
        <v/>
      </c>
      <c r="B28" s="44" t="n"/>
      <c r="C28" s="44" t="n"/>
      <c r="D28" s="44" t="inlineStr">
        <is>
          <t>Ngô Đức Khoa</t>
        </is>
      </c>
      <c r="E28" s="48" t="inlineStr">
        <is>
          <t>0912127858</t>
        </is>
      </c>
      <c r="F28" s="68" t="n">
        <v>7</v>
      </c>
      <c r="G28" s="68" t="n">
        <v>11</v>
      </c>
      <c r="H28" s="44" t="n">
        <v>1977</v>
      </c>
      <c r="I28" s="69" t="inlineStr">
        <is>
          <t>990434318</t>
        </is>
      </c>
      <c r="J28" s="70" t="inlineStr">
        <is>
          <t>999670564614</t>
        </is>
      </c>
      <c r="K28" s="56" t="inlineStr">
        <is>
          <t>Lao động tự do</t>
        </is>
      </c>
      <c r="L28" s="44" t="inlineStr">
        <is>
          <t>Người thu nhập thấp tại khu vực đô thị</t>
        </is>
      </c>
      <c r="M28" s="44" t="inlineStr">
        <is>
          <t>Công an Phường Võ Cường</t>
        </is>
      </c>
      <c r="N28" s="44" t="inlineStr">
        <is>
          <t>Chưa có nhà ở thuộc sở hữu của hộ gia đình</t>
        </is>
      </c>
      <c r="O28" s="44" t="inlineStr">
        <is>
          <t>Bắc Ninh</t>
        </is>
      </c>
      <c r="P28" s="44" t="n"/>
      <c r="Q28" s="44" t="inlineStr">
        <is>
          <t>Võ Cường</t>
        </is>
      </c>
      <c r="R28" s="44" t="inlineStr">
        <is>
          <t>Có thu nhập bình quân hàng tháng thực nhận không quá 50 triệu đồng</t>
        </is>
      </c>
      <c r="S28" s="44" t="inlineStr">
        <is>
          <t>Chủ hộ</t>
        </is>
      </c>
      <c r="T28" s="44" t="inlineStr">
        <is>
          <t>CTS-M1-0903</t>
        </is>
      </c>
      <c r="U28" s="47" t="inlineStr">
        <is>
          <t>51.03</t>
        </is>
      </c>
    </row>
    <row r="29" ht="51" customHeight="1">
      <c r="A29" s="65" t="n"/>
      <c r="B29" s="44" t="n"/>
      <c r="C29" s="44" t="n"/>
      <c r="D29" s="44" t="inlineStr">
        <is>
          <t>Trần Thu Yến</t>
        </is>
      </c>
      <c r="E29" s="65" t="n"/>
      <c r="F29" s="68" t="n">
        <v>20</v>
      </c>
      <c r="G29" s="68" t="n">
        <v>8</v>
      </c>
      <c r="H29" s="44" t="n">
        <v>1975</v>
      </c>
      <c r="I29" s="69" t="inlineStr">
        <is>
          <t>990253797</t>
        </is>
      </c>
      <c r="J29" s="70" t="inlineStr">
        <is>
          <t>999761948892</t>
        </is>
      </c>
      <c r="K29" s="56" t="inlineStr">
        <is>
          <t>Lao động tự do</t>
        </is>
      </c>
      <c r="L29" s="44" t="inlineStr">
        <is>
          <t>Người thu nhập thấp tại khu vực đô thị</t>
        </is>
      </c>
      <c r="M29" s="44" t="inlineStr">
        <is>
          <t>Công an Phường Võ Cường</t>
        </is>
      </c>
      <c r="N29" s="65" t="n"/>
      <c r="O29" s="65" t="n"/>
      <c r="P29" s="44" t="n"/>
      <c r="Q29" s="65" t="n"/>
      <c r="R29" s="65" t="n"/>
      <c r="S29" s="44" t="inlineStr">
        <is>
          <t>Vợ (Chồng)</t>
        </is>
      </c>
      <c r="T29" s="65" t="n"/>
      <c r="U29" s="65" t="n"/>
    </row>
    <row r="30" ht="51" customHeight="1">
      <c r="A30" s="44">
        <f>IF(T30="","",MAX($A$3:A29)+1)</f>
        <v/>
      </c>
      <c r="B30" s="44" t="n"/>
      <c r="C30" s="44" t="n"/>
      <c r="D30" s="44" t="inlineStr">
        <is>
          <t>Vũ Xuân Sơn</t>
        </is>
      </c>
      <c r="E30" s="48" t="inlineStr">
        <is>
          <t>0963306339</t>
        </is>
      </c>
      <c r="F30" s="68" t="n">
        <v>23</v>
      </c>
      <c r="G30" s="68" t="n">
        <v>9</v>
      </c>
      <c r="H30" s="44" t="n">
        <v>1993</v>
      </c>
      <c r="I30" s="69" t="inlineStr">
        <is>
          <t>997867727</t>
        </is>
      </c>
      <c r="J30" s="70" t="inlineStr">
        <is>
          <t>999130845385</t>
        </is>
      </c>
      <c r="K30" s="56" t="inlineStr">
        <is>
          <t>Người lao động làm việc tại doanh nghiệp</t>
        </is>
      </c>
      <c r="L30" s="44" t="inlineStr">
        <is>
          <t>Người lao động đang làm việc tại các doanh nghiệp trong và ngoài khu công nghiệp</t>
        </is>
      </c>
      <c r="M30" s="44" t="inlineStr">
        <is>
          <t>Công ty TNHH Samsung Display Việt Nam</t>
        </is>
      </c>
      <c r="N30" s="44" t="inlineStr">
        <is>
          <t>Chưa có nhà ở thuộc sở hữu của hộ gia đình</t>
        </is>
      </c>
      <c r="O30" s="44" t="inlineStr">
        <is>
          <t>Bắc Ninh</t>
        </is>
      </c>
      <c r="P30" s="44" t="n"/>
      <c r="Q30" s="44" t="inlineStr">
        <is>
          <t>Tam Đa</t>
        </is>
      </c>
      <c r="R30" s="44" t="inlineStr">
        <is>
          <t>Có thu nhập bình quân hàng tháng thực nhận không quá 50 triệu đồng</t>
        </is>
      </c>
      <c r="S30" s="44" t="inlineStr">
        <is>
          <t>Chủ hộ</t>
        </is>
      </c>
      <c r="T30" s="44" t="inlineStr">
        <is>
          <t>CTS-M1-0906</t>
        </is>
      </c>
      <c r="U30" s="47" t="inlineStr">
        <is>
          <t>71.59</t>
        </is>
      </c>
    </row>
    <row r="31" ht="51" customHeight="1">
      <c r="A31" s="65" t="n"/>
      <c r="B31" s="44" t="n"/>
      <c r="C31" s="44" t="n"/>
      <c r="D31" s="44" t="inlineStr">
        <is>
          <t>Trần Thu Mai</t>
        </is>
      </c>
      <c r="E31" s="65" t="n"/>
      <c r="F31" s="68" t="n">
        <v>20</v>
      </c>
      <c r="G31" s="68" t="n">
        <v>4</v>
      </c>
      <c r="H31" s="44" t="n">
        <v>2000</v>
      </c>
      <c r="I31" s="69" t="n"/>
      <c r="J31" s="70" t="inlineStr">
        <is>
          <t>999412054245</t>
        </is>
      </c>
      <c r="K31" s="56" t="inlineStr">
        <is>
          <t>Lao động tự do</t>
        </is>
      </c>
      <c r="L31" s="44" t="inlineStr">
        <is>
          <t>Người thu nhập thấp tại khu vực đô thị</t>
        </is>
      </c>
      <c r="M31" s="44" t="inlineStr">
        <is>
          <t>Công an Xã Tam Đa</t>
        </is>
      </c>
      <c r="N31" s="65" t="n"/>
      <c r="O31" s="65" t="n"/>
      <c r="P31" s="44" t="n"/>
      <c r="Q31" s="65" t="n"/>
      <c r="R31" s="65" t="n"/>
      <c r="S31" s="44" t="inlineStr">
        <is>
          <t>Vợ (Chồng)</t>
        </is>
      </c>
      <c r="T31" s="65" t="n"/>
      <c r="U31" s="65" t="n"/>
    </row>
    <row r="32" ht="51" customHeight="1">
      <c r="A32" s="44" t="n">
        <v>20</v>
      </c>
      <c r="B32" s="44" t="n"/>
      <c r="C32" s="44" t="n"/>
      <c r="D32" s="44" t="inlineStr">
        <is>
          <t>Hoàng Thành Vinh</t>
        </is>
      </c>
      <c r="E32" s="48" t="inlineStr">
        <is>
          <t>0957891299</t>
        </is>
      </c>
      <c r="F32" s="68" t="n">
        <v>24</v>
      </c>
      <c r="G32" s="68" t="n">
        <v>5</v>
      </c>
      <c r="H32" s="44" t="n">
        <v>1952</v>
      </c>
      <c r="I32" s="69" t="inlineStr">
        <is>
          <t>996532701</t>
        </is>
      </c>
      <c r="J32" s="70" t="inlineStr">
        <is>
          <t>999805647424</t>
        </is>
      </c>
      <c r="K32" s="56" t="inlineStr">
        <is>
          <t>Lao động tự do</t>
        </is>
      </c>
      <c r="L32" s="44" t="inlineStr">
        <is>
          <t>Người thu nhập thấp tại khu vực đô thị</t>
        </is>
      </c>
      <c r="M32" s="44" t="inlineStr">
        <is>
          <t>Công an Xã Yên Trung</t>
        </is>
      </c>
      <c r="N32" s="44" t="inlineStr">
        <is>
          <t>Chưa có nhà ở thuộc sở hữu của hộ gia đình</t>
        </is>
      </c>
      <c r="O32" s="44" t="inlineStr">
        <is>
          <t>Bắc Ninh</t>
        </is>
      </c>
      <c r="P32" s="44" t="n"/>
      <c r="Q32" s="44" t="inlineStr">
        <is>
          <t>Yên Trung</t>
        </is>
      </c>
      <c r="R32" s="44" t="inlineStr">
        <is>
          <t>Có thu nhập bình quân hàng tháng thực nhận không quá 25 triệu đồng</t>
        </is>
      </c>
      <c r="S32" s="44" t="inlineStr">
        <is>
          <t>Chủ hộ</t>
        </is>
      </c>
      <c r="T32" s="44" t="inlineStr">
        <is>
          <t>CTS-M2-0504</t>
        </is>
      </c>
      <c r="U32" s="47" t="inlineStr">
        <is>
          <t>45.85</t>
        </is>
      </c>
    </row>
    <row r="33" ht="51" customHeight="1">
      <c r="A33" s="44">
        <f>IF(T33="","",MAX($A$3:A32)+1)</f>
        <v/>
      </c>
      <c r="B33" s="44" t="n"/>
      <c r="C33" s="44" t="n"/>
      <c r="D33" s="44" t="inlineStr">
        <is>
          <t>Mai Phương Yến</t>
        </is>
      </c>
      <c r="E33" s="48" t="inlineStr">
        <is>
          <t>0940604256</t>
        </is>
      </c>
      <c r="F33" s="68" t="n">
        <v>4</v>
      </c>
      <c r="G33" s="68" t="n">
        <v>12</v>
      </c>
      <c r="H33" s="44" t="n">
        <v>1992</v>
      </c>
      <c r="I33" s="69" t="inlineStr">
        <is>
          <t>998530450</t>
        </is>
      </c>
      <c r="J33" s="70" t="inlineStr">
        <is>
          <t>999872221423</t>
        </is>
      </c>
      <c r="K33" s="56" t="inlineStr">
        <is>
          <t>Người lao động làm việc tại doanh nghiệp</t>
        </is>
      </c>
      <c r="L33" s="44" t="inlineStr">
        <is>
          <t>Người lao động đang làm việc tại các doanh nghiệp trong và ngoài khu công nghiệp</t>
        </is>
      </c>
      <c r="M33" s="44" t="inlineStr">
        <is>
          <t>Công ty TNHH Samsung Display Việt Nam</t>
        </is>
      </c>
      <c r="N33" s="44" t="inlineStr">
        <is>
          <t>Chưa có nhà ở thuộc sở hữu của hộ gia đình</t>
        </is>
      </c>
      <c r="O33" s="44" t="inlineStr">
        <is>
          <t>Bắc Ninh</t>
        </is>
      </c>
      <c r="P33" s="44" t="n"/>
      <c r="Q33" s="44" t="inlineStr">
        <is>
          <t>Tam Đa</t>
        </is>
      </c>
      <c r="R33" s="44" t="inlineStr">
        <is>
          <t>Có thu nhập bình quân hàng tháng thực nhận không quá 50 triệu đồng</t>
        </is>
      </c>
      <c r="S33" s="44" t="inlineStr">
        <is>
          <t>Chủ hộ</t>
        </is>
      </c>
      <c r="T33" s="44" t="inlineStr">
        <is>
          <t>CTS-M2-0804</t>
        </is>
      </c>
      <c r="U33" s="47" t="inlineStr">
        <is>
          <t>45.85</t>
        </is>
      </c>
    </row>
    <row r="34" ht="51" customHeight="1">
      <c r="A34" s="65" t="n"/>
      <c r="B34" s="44" t="n"/>
      <c r="C34" s="44" t="n"/>
      <c r="D34" s="44" t="inlineStr">
        <is>
          <t>Phạm Ngọc Trang</t>
        </is>
      </c>
      <c r="E34" s="65" t="n"/>
      <c r="F34" s="68" t="n">
        <v>20</v>
      </c>
      <c r="G34" s="68" t="n">
        <v>1</v>
      </c>
      <c r="H34" s="44" t="n">
        <v>1999</v>
      </c>
      <c r="I34" s="69" t="n"/>
      <c r="J34" s="70" t="inlineStr">
        <is>
          <t>999751019968</t>
        </is>
      </c>
      <c r="K34" s="56" t="inlineStr">
        <is>
          <t>Người lao động làm việc tại doanh nghiệp</t>
        </is>
      </c>
      <c r="L34" s="44" t="inlineStr">
        <is>
          <t>Người lao động đang làm việc tại các doanh nghiệp trong và ngoài khu công nghiệp</t>
        </is>
      </c>
      <c r="M34" s="44" t="inlineStr">
        <is>
          <t>Công ty TNHH AAD Vietnam</t>
        </is>
      </c>
      <c r="N34" s="65" t="n"/>
      <c r="O34" s="65" t="n"/>
      <c r="P34" s="44" t="n"/>
      <c r="Q34" s="65" t="n"/>
      <c r="R34" s="65" t="n"/>
      <c r="S34" s="44" t="inlineStr">
        <is>
          <t>Vợ (Chồng)</t>
        </is>
      </c>
      <c r="T34" s="65" t="n"/>
      <c r="U34" s="65" t="n"/>
    </row>
    <row r="35" ht="51" customHeight="1">
      <c r="A35" s="44">
        <f>IF(T35="","",MAX($A$3:A34)+1)</f>
        <v/>
      </c>
      <c r="B35" s="44" t="n"/>
      <c r="C35" s="44" t="n"/>
      <c r="D35" s="44" t="inlineStr">
        <is>
          <t>Đặng Minh Bình</t>
        </is>
      </c>
      <c r="E35" s="48" t="inlineStr">
        <is>
          <t>0901041490</t>
        </is>
      </c>
      <c r="F35" s="68" t="n">
        <v>20</v>
      </c>
      <c r="G35" s="68" t="n">
        <v>11</v>
      </c>
      <c r="H35" s="44" t="n">
        <v>1999</v>
      </c>
      <c r="I35" s="69" t="inlineStr">
        <is>
          <t>997879796</t>
        </is>
      </c>
      <c r="J35" s="70" t="inlineStr">
        <is>
          <t>999012006061</t>
        </is>
      </c>
      <c r="K35" s="56" t="inlineStr">
        <is>
          <t>Người lao động làm việc tại doanh nghiệp</t>
        </is>
      </c>
      <c r="L35" s="44" t="inlineStr">
        <is>
          <t>Người lao động đang làm việc tại các doanh nghiệp trong và ngoài khu công nghiệp</t>
        </is>
      </c>
      <c r="M35" s="44" t="inlineStr">
        <is>
          <t>Công ty TNHH Vật liệu mới Huaxin Xiechuang Việt Nam</t>
        </is>
      </c>
      <c r="N35" s="44" t="inlineStr">
        <is>
          <t>Chưa có nhà ở thuộc sở hữu của hộ gia đình</t>
        </is>
      </c>
      <c r="O35" s="44" t="inlineStr">
        <is>
          <t>Bắc Ninh</t>
        </is>
      </c>
      <c r="P35" s="44" t="n"/>
      <c r="Q35" s="44" t="inlineStr">
        <is>
          <t>Hiệp Hòa</t>
        </is>
      </c>
      <c r="R35" s="44" t="inlineStr">
        <is>
          <t>Có thu nhập bình quân hàng tháng thực nhận không quá 25 triệu đồng</t>
        </is>
      </c>
      <c r="S35" s="44" t="inlineStr">
        <is>
          <t>Chủ hộ</t>
        </is>
      </c>
      <c r="T35" s="44" t="inlineStr">
        <is>
          <t>CTS-M2-102A</t>
        </is>
      </c>
      <c r="U35" s="47" t="inlineStr">
        <is>
          <t>69.20</t>
        </is>
      </c>
    </row>
    <row r="36" ht="51" customHeight="1">
      <c r="A36" s="44">
        <f>IF(T36="","",MAX($A$3:A35)+1)</f>
        <v/>
      </c>
      <c r="B36" s="44" t="n"/>
      <c r="C36" s="44" t="n"/>
      <c r="D36" s="44" t="inlineStr">
        <is>
          <t>Đặng Thanh Oanh</t>
        </is>
      </c>
      <c r="E36" s="48" t="inlineStr">
        <is>
          <t>0962385190</t>
        </is>
      </c>
      <c r="F36" s="68" t="n">
        <v>5</v>
      </c>
      <c r="G36" s="68" t="n">
        <v>4</v>
      </c>
      <c r="H36" s="44" t="n">
        <v>1997</v>
      </c>
      <c r="I36" s="69" t="inlineStr">
        <is>
          <t>991761346</t>
        </is>
      </c>
      <c r="J36" s="70" t="inlineStr">
        <is>
          <t>999393816018</t>
        </is>
      </c>
      <c r="K36" s="56" t="inlineStr">
        <is>
          <t>Người lao động làm việc tại doanh nghiệp</t>
        </is>
      </c>
      <c r="L36" s="44" t="inlineStr">
        <is>
          <t>Người lao động đang làm việc tại các doanh nghiệp trong và ngoài khu công nghiệp</t>
        </is>
      </c>
      <c r="M36" s="44" t="inlineStr">
        <is>
          <t>Công ty TNHH SamSung SDS Việt Nam</t>
        </is>
      </c>
      <c r="N36" s="44" t="inlineStr">
        <is>
          <t>Chưa có nhà ở thuộc sở hữu của hộ gia đình</t>
        </is>
      </c>
      <c r="O36" s="44" t="inlineStr">
        <is>
          <t>Bắc Ninh</t>
        </is>
      </c>
      <c r="P36" s="44" t="n"/>
      <c r="Q36" s="44" t="inlineStr">
        <is>
          <t>Văn Môn</t>
        </is>
      </c>
      <c r="R36" s="44" t="inlineStr">
        <is>
          <t>Có thu nhập bình quân hàng tháng thực nhận không quá 50 triệu đồng</t>
        </is>
      </c>
      <c r="S36" s="44" t="inlineStr">
        <is>
          <t>Chủ hộ</t>
        </is>
      </c>
      <c r="T36" s="44" t="inlineStr">
        <is>
          <t>CTS-O-0205</t>
        </is>
      </c>
      <c r="U36" s="47" t="inlineStr">
        <is>
          <t>68.50</t>
        </is>
      </c>
    </row>
    <row r="37" ht="51" customHeight="1">
      <c r="A37" s="65" t="n"/>
      <c r="B37" s="44" t="n"/>
      <c r="C37" s="44" t="n"/>
      <c r="D37" s="44" t="inlineStr">
        <is>
          <t>Vũ Minh Nhung</t>
        </is>
      </c>
      <c r="E37" s="65" t="n"/>
      <c r="F37" s="68" t="n">
        <v>9</v>
      </c>
      <c r="G37" s="68" t="n">
        <v>11</v>
      </c>
      <c r="H37" s="44" t="n">
        <v>1998</v>
      </c>
      <c r="I37" s="69" t="inlineStr">
        <is>
          <t>996463088</t>
        </is>
      </c>
      <c r="J37" s="70" t="inlineStr">
        <is>
          <t>999924036343</t>
        </is>
      </c>
      <c r="K37" s="56" t="inlineStr">
        <is>
          <t>Lao động tự do</t>
        </is>
      </c>
      <c r="L37" s="44" t="inlineStr">
        <is>
          <t>Người thu nhập thấp tại khu vực đô thị</t>
        </is>
      </c>
      <c r="M37" s="44" t="inlineStr">
        <is>
          <t>Công an Xã Văn Môn</t>
        </is>
      </c>
      <c r="N37" s="65" t="n"/>
      <c r="O37" s="65" t="n"/>
      <c r="P37" s="44" t="n"/>
      <c r="Q37" s="65" t="n"/>
      <c r="R37" s="65" t="n"/>
      <c r="S37" s="44" t="inlineStr">
        <is>
          <t>Vợ (Chồng)</t>
        </is>
      </c>
      <c r="T37" s="65" t="n"/>
      <c r="U37" s="65" t="n"/>
    </row>
    <row r="38" ht="51" customHeight="1">
      <c r="A38" s="44">
        <f>IF(T38="","",MAX($A$3:A37)+1)</f>
        <v/>
      </c>
      <c r="B38" s="44" t="n"/>
      <c r="C38" s="44" t="n"/>
      <c r="D38" s="44" t="inlineStr">
        <is>
          <t>Lý Phương Dung</t>
        </is>
      </c>
      <c r="E38" s="48" t="inlineStr">
        <is>
          <t>0959760256</t>
        </is>
      </c>
      <c r="F38" s="68" t="n">
        <v>3</v>
      </c>
      <c r="G38" s="68" t="n">
        <v>12</v>
      </c>
      <c r="H38" s="44" t="n">
        <v>1962</v>
      </c>
      <c r="I38" s="69" t="inlineStr">
        <is>
          <t>992856414</t>
        </is>
      </c>
      <c r="J38" s="70" t="inlineStr">
        <is>
          <t>999507053281</t>
        </is>
      </c>
      <c r="K38" s="56" t="inlineStr">
        <is>
          <t>Lao động tự do</t>
        </is>
      </c>
      <c r="L38" s="44" t="inlineStr">
        <is>
          <t>Người thu nhập thấp tại khu vực đô thị</t>
        </is>
      </c>
      <c r="M38" s="44" t="inlineStr">
        <is>
          <t>Bảo hiểm xã hội cơ sở Lương Tài</t>
        </is>
      </c>
      <c r="N38" s="44" t="inlineStr">
        <is>
          <t>Chưa có nhà ở thuộc sở hữu của hộ gia đình</t>
        </is>
      </c>
      <c r="O38" s="44" t="inlineStr">
        <is>
          <t>Bắc Ninh</t>
        </is>
      </c>
      <c r="P38" s="44" t="n"/>
      <c r="Q38" s="44" t="inlineStr">
        <is>
          <t>Lương Tài</t>
        </is>
      </c>
      <c r="R38" s="44" t="inlineStr">
        <is>
          <t>Có thu nhập bình quân hàng tháng thực nhận không quá 50 triệu đồng</t>
        </is>
      </c>
      <c r="S38" s="44" t="inlineStr">
        <is>
          <t>Chủ hộ</t>
        </is>
      </c>
      <c r="T38" s="44" t="inlineStr">
        <is>
          <t>CTS-O-0211</t>
        </is>
      </c>
      <c r="U38" s="47" t="inlineStr">
        <is>
          <t>69.00</t>
        </is>
      </c>
    </row>
    <row r="39" ht="51" customHeight="1">
      <c r="A39" s="65" t="n"/>
      <c r="B39" s="44" t="n"/>
      <c r="C39" s="44" t="n"/>
      <c r="D39" s="44" t="inlineStr">
        <is>
          <t>Đinh Phương Linh</t>
        </is>
      </c>
      <c r="E39" s="65" t="n"/>
      <c r="F39" s="68" t="n">
        <v>6</v>
      </c>
      <c r="G39" s="68" t="n">
        <v>1</v>
      </c>
      <c r="H39" s="44" t="n">
        <v>1959</v>
      </c>
      <c r="I39" s="69" t="inlineStr">
        <is>
          <t>995253868</t>
        </is>
      </c>
      <c r="J39" s="70" t="inlineStr">
        <is>
          <t>999721798420</t>
        </is>
      </c>
      <c r="K39" s="56" t="inlineStr">
        <is>
          <t>Lao động tự do</t>
        </is>
      </c>
      <c r="L39" s="44" t="inlineStr">
        <is>
          <t>Người thu nhập thấp tại khu vực đô thị</t>
        </is>
      </c>
      <c r="M39" s="44" t="inlineStr">
        <is>
          <t>Bảo hiểm xã hội cơ sở Lương Tài</t>
        </is>
      </c>
      <c r="N39" s="65" t="n"/>
      <c r="O39" s="65" t="n"/>
      <c r="P39" s="44" t="n"/>
      <c r="Q39" s="65" t="n"/>
      <c r="R39" s="65" t="n"/>
      <c r="S39" s="44" t="inlineStr">
        <is>
          <t>Vợ (Chồng)</t>
        </is>
      </c>
      <c r="T39" s="65" t="n"/>
      <c r="U39" s="65" t="n"/>
    </row>
    <row r="40" ht="51" customHeight="1">
      <c r="A40" s="44" t="n">
        <v>25</v>
      </c>
      <c r="B40" s="44" t="n"/>
      <c r="C40" s="44" t="n"/>
      <c r="D40" s="44" t="inlineStr">
        <is>
          <t>Lê Thu Anh</t>
        </is>
      </c>
      <c r="E40" s="48" t="inlineStr">
        <is>
          <t>0922881475</t>
        </is>
      </c>
      <c r="F40" s="68" t="n">
        <v>1</v>
      </c>
      <c r="G40" s="68" t="n">
        <v>10</v>
      </c>
      <c r="H40" s="44" t="n">
        <v>1992</v>
      </c>
      <c r="I40" s="69" t="inlineStr">
        <is>
          <t>997088187</t>
        </is>
      </c>
      <c r="J40" s="70" t="inlineStr">
        <is>
          <t>999588532272</t>
        </is>
      </c>
      <c r="K40" s="56" t="inlineStr">
        <is>
          <t>Người lao động làm việc tại doanh nghiệp</t>
        </is>
      </c>
      <c r="L40" s="44" t="inlineStr">
        <is>
          <t>Người lao động đang làm việc tại các doanh nghiệp trong và ngoài khu công nghiệp</t>
        </is>
      </c>
      <c r="M40" s="44" t="inlineStr">
        <is>
          <t>Công ty TNHH With TNS Việt Nam</t>
        </is>
      </c>
      <c r="N40" s="44" t="inlineStr">
        <is>
          <t>Chưa có nhà ở thuộc sở hữu của hộ gia đình</t>
        </is>
      </c>
      <c r="O40" s="44" t="inlineStr">
        <is>
          <t>Bắc Ninh</t>
        </is>
      </c>
      <c r="P40" s="44" t="n"/>
      <c r="Q40" s="44" t="inlineStr">
        <is>
          <t>Võ Cường</t>
        </is>
      </c>
      <c r="R40" s="44" t="inlineStr">
        <is>
          <t>Có thu nhập bình quân hàng tháng thực nhận không quá 25 triệu đồng</t>
        </is>
      </c>
      <c r="S40" s="44" t="inlineStr">
        <is>
          <t>Chủ hộ</t>
        </is>
      </c>
      <c r="T40" s="44" t="inlineStr">
        <is>
          <t>CTS-O-0301</t>
        </is>
      </c>
      <c r="U40" s="47" t="inlineStr">
        <is>
          <t>68.50</t>
        </is>
      </c>
    </row>
    <row r="41" ht="51" customHeight="1">
      <c r="A41" s="44" t="n">
        <v>26</v>
      </c>
      <c r="B41" s="44" t="n"/>
      <c r="C41" s="44" t="n"/>
      <c r="D41" s="44" t="inlineStr">
        <is>
          <t>Đỗ Thành Việt</t>
        </is>
      </c>
      <c r="E41" s="48" t="inlineStr">
        <is>
          <t>0929601332</t>
        </is>
      </c>
      <c r="F41" s="68" t="n">
        <v>20</v>
      </c>
      <c r="G41" s="68" t="n">
        <v>7</v>
      </c>
      <c r="H41" s="44" t="n">
        <v>1988</v>
      </c>
      <c r="I41" s="69" t="inlineStr">
        <is>
          <t>991096273</t>
        </is>
      </c>
      <c r="J41" s="70" t="inlineStr">
        <is>
          <t>999089863840</t>
        </is>
      </c>
      <c r="K41" s="56" t="inlineStr">
        <is>
          <t>Người lao động làm việc tại doanh nghiệp</t>
        </is>
      </c>
      <c r="L41" s="44" t="inlineStr">
        <is>
          <t>Người lao động đang làm việc tại các doanh nghiệp trong và ngoài khu công nghiệp</t>
        </is>
      </c>
      <c r="M41" s="44" t="inlineStr">
        <is>
          <t>Công ty TNHH Tobon Screws Việt Nam</t>
        </is>
      </c>
      <c r="N41" s="44" t="inlineStr">
        <is>
          <t>Chưa có nhà ở thuộc sở hữu của hộ gia đình</t>
        </is>
      </c>
      <c r="O41" s="44" t="inlineStr">
        <is>
          <t>Bắc Ninh</t>
        </is>
      </c>
      <c r="P41" s="44" t="n"/>
      <c r="Q41" s="44" t="inlineStr">
        <is>
          <t>Yên Trung</t>
        </is>
      </c>
      <c r="R41" s="44" t="inlineStr">
        <is>
          <t>Có thu nhập bình quân hàng tháng thực nhận không quá 50 triệu đồng</t>
        </is>
      </c>
      <c r="S41" s="44" t="inlineStr">
        <is>
          <t>Chủ hộ</t>
        </is>
      </c>
      <c r="T41" s="44" t="inlineStr">
        <is>
          <t>CTS-O-0302</t>
        </is>
      </c>
      <c r="U41" s="47" t="inlineStr">
        <is>
          <t>69.40</t>
        </is>
      </c>
    </row>
    <row r="42" ht="51" customHeight="1">
      <c r="A42" s="65" t="n"/>
      <c r="B42" s="44" t="n"/>
      <c r="C42" s="44" t="n"/>
      <c r="D42" s="44" t="inlineStr">
        <is>
          <t>Đặng Thị Hà</t>
        </is>
      </c>
      <c r="E42" s="65" t="n"/>
      <c r="F42" s="68" t="n">
        <v>11</v>
      </c>
      <c r="G42" s="68" t="n">
        <v>3</v>
      </c>
      <c r="H42" s="44" t="n">
        <v>1995</v>
      </c>
      <c r="I42" s="69" t="inlineStr">
        <is>
          <t>997569542</t>
        </is>
      </c>
      <c r="J42" s="70" t="inlineStr">
        <is>
          <t>999115933561</t>
        </is>
      </c>
      <c r="K42" s="56" t="inlineStr">
        <is>
          <t>Người lao động làm việc tại doanh nghiệp</t>
        </is>
      </c>
      <c r="L42" s="44" t="inlineStr">
        <is>
          <t>Người lao động đang làm việc tại các doanh nghiệp trong và ngoài khu công nghiệp</t>
        </is>
      </c>
      <c r="M42" s="44" t="inlineStr">
        <is>
          <t>Công ty TNHH Công nghệ Thông minh Sixpure Việt Nam</t>
        </is>
      </c>
      <c r="N42" s="65" t="n"/>
      <c r="O42" s="65" t="n"/>
      <c r="P42" s="44" t="n"/>
      <c r="Q42" s="65" t="n"/>
      <c r="R42" s="65" t="n"/>
      <c r="S42" s="44" t="inlineStr">
        <is>
          <t>Vợ (Chồng)</t>
        </is>
      </c>
      <c r="T42" s="65" t="n"/>
      <c r="U42" s="65" t="n"/>
    </row>
    <row r="43" ht="51" customHeight="1">
      <c r="A43" s="44" t="n">
        <v>27</v>
      </c>
      <c r="B43" s="44" t="n"/>
      <c r="C43" s="44" t="n"/>
      <c r="D43" s="44" t="inlineStr">
        <is>
          <t>Vũ Tiến Cường</t>
        </is>
      </c>
      <c r="E43" s="48" t="inlineStr">
        <is>
          <t>0952464537</t>
        </is>
      </c>
      <c r="F43" s="68" t="n">
        <v>23</v>
      </c>
      <c r="G43" s="68" t="n">
        <v>10</v>
      </c>
      <c r="H43" s="44" t="n">
        <v>1994</v>
      </c>
      <c r="I43" s="69" t="inlineStr">
        <is>
          <t>996288573</t>
        </is>
      </c>
      <c r="J43" s="70" t="inlineStr">
        <is>
          <t>999698715870</t>
        </is>
      </c>
      <c r="K43" s="56" t="inlineStr">
        <is>
          <t>Người lao động làm việc tại doanh nghiệp</t>
        </is>
      </c>
      <c r="L43" s="44" t="inlineStr">
        <is>
          <t>Người lao động đang làm việc tại các doanh nghiệp trong và ngoài khu công nghiệp</t>
        </is>
      </c>
      <c r="M43" s="44" t="inlineStr">
        <is>
          <t>Công ty TNHH Thương mại máy Xinda Việt Nam</t>
        </is>
      </c>
      <c r="N43" s="44" t="inlineStr">
        <is>
          <t>Chưa có nhà ở thuộc sở hữu của hộ gia đình</t>
        </is>
      </c>
      <c r="O43" s="44" t="inlineStr">
        <is>
          <t>Bắc Ninh</t>
        </is>
      </c>
      <c r="P43" s="44" t="n"/>
      <c r="Q43" s="44" t="inlineStr">
        <is>
          <t>Từ Sơn</t>
        </is>
      </c>
      <c r="R43" s="44" t="inlineStr">
        <is>
          <t>Có thu nhập bình quân hàng tháng thực nhận không quá 50 triệu đồng</t>
        </is>
      </c>
      <c r="S43" s="44" t="inlineStr">
        <is>
          <t>Chủ hộ</t>
        </is>
      </c>
      <c r="T43" s="44" t="inlineStr">
        <is>
          <t>CTS-O-0304</t>
        </is>
      </c>
      <c r="U43" s="47" t="inlineStr">
        <is>
          <t>69.40</t>
        </is>
      </c>
    </row>
    <row r="44" ht="51" customHeight="1">
      <c r="A44" s="65" t="n"/>
      <c r="B44" s="44" t="n"/>
      <c r="C44" s="44" t="n"/>
      <c r="D44" s="44" t="inlineStr">
        <is>
          <t>Phạm Ngọc Giang</t>
        </is>
      </c>
      <c r="E44" s="65" t="n"/>
      <c r="F44" s="68" t="n">
        <v>25</v>
      </c>
      <c r="G44" s="68" t="n">
        <v>12</v>
      </c>
      <c r="H44" s="44" t="n">
        <v>1999</v>
      </c>
      <c r="I44" s="69" t="inlineStr">
        <is>
          <t>997270258</t>
        </is>
      </c>
      <c r="J44" s="70" t="inlineStr">
        <is>
          <t>999861398320</t>
        </is>
      </c>
      <c r="K44" s="56" t="inlineStr">
        <is>
          <t>Người lao động làm việc tại doanh nghiệp</t>
        </is>
      </c>
      <c r="L44" s="44" t="inlineStr">
        <is>
          <t>Người lao động đang làm việc tại các doanh nghiệp trong và ngoài khu công nghiệp</t>
        </is>
      </c>
      <c r="M44" s="44" t="inlineStr">
        <is>
          <t>Công ty TNHH Dreamtech Việt Nam</t>
        </is>
      </c>
      <c r="N44" s="65" t="n"/>
      <c r="O44" s="65" t="n"/>
      <c r="P44" s="44" t="n"/>
      <c r="Q44" s="65" t="n"/>
      <c r="R44" s="65" t="n"/>
      <c r="S44" s="44" t="inlineStr">
        <is>
          <t>Vợ (Chồng)</t>
        </is>
      </c>
      <c r="T44" s="65" t="n"/>
      <c r="U44" s="65" t="n"/>
    </row>
    <row r="45" ht="51" customHeight="1">
      <c r="A45" s="44" t="n">
        <v>28</v>
      </c>
      <c r="B45" s="44" t="n"/>
      <c r="C45" s="44" t="n"/>
      <c r="D45" s="44" t="inlineStr">
        <is>
          <t>Hoàng Minh Việt</t>
        </is>
      </c>
      <c r="E45" s="48" t="inlineStr">
        <is>
          <t>0926043149</t>
        </is>
      </c>
      <c r="F45" s="68" t="n">
        <v>19</v>
      </c>
      <c r="G45" s="68" t="n">
        <v>8</v>
      </c>
      <c r="H45" s="44" t="n">
        <v>1998</v>
      </c>
      <c r="I45" s="69" t="inlineStr">
        <is>
          <t>992726627</t>
        </is>
      </c>
      <c r="J45" s="70" t="inlineStr">
        <is>
          <t>999907251052</t>
        </is>
      </c>
      <c r="K45" s="56" t="inlineStr">
        <is>
          <t>Người lao động làm việc tại doanh nghiệp</t>
        </is>
      </c>
      <c r="L45" s="44" t="inlineStr">
        <is>
          <t>Người lao động đang làm việc tại các doanh nghiệp trong và ngoài khu công nghiệp</t>
        </is>
      </c>
      <c r="M45" s="44" t="inlineStr">
        <is>
          <t>Công ty Cổ phần Nghiên cứu và Sản xuất Dược phẩm Meracine</t>
        </is>
      </c>
      <c r="N45" s="44" t="inlineStr">
        <is>
          <t>Chưa có nhà ở thuộc sở hữu của hộ gia đình</t>
        </is>
      </c>
      <c r="O45" s="44" t="inlineStr">
        <is>
          <t>Bắc Ninh</t>
        </is>
      </c>
      <c r="P45" s="44" t="n"/>
      <c r="Q45" s="44" t="inlineStr">
        <is>
          <t>Yên Phong</t>
        </is>
      </c>
      <c r="R45" s="44" t="inlineStr">
        <is>
          <t>Có thu nhập bình quân hàng tháng thực nhận không quá 50 triệu đồng</t>
        </is>
      </c>
      <c r="S45" s="44" t="inlineStr">
        <is>
          <t>Chủ hộ</t>
        </is>
      </c>
      <c r="T45" s="44" t="inlineStr">
        <is>
          <t>CTS-O-0305</t>
        </is>
      </c>
      <c r="U45" s="47" t="inlineStr">
        <is>
          <t>68.50</t>
        </is>
      </c>
    </row>
    <row r="46" ht="51" customHeight="1">
      <c r="A46" s="65" t="n"/>
      <c r="B46" s="44" t="n"/>
      <c r="C46" s="44" t="n"/>
      <c r="D46" s="44" t="inlineStr">
        <is>
          <t>Nguyễn Thu Linh</t>
        </is>
      </c>
      <c r="E46" s="65" t="n"/>
      <c r="F46" s="68" t="n">
        <v>13</v>
      </c>
      <c r="G46" s="68" t="n">
        <v>1</v>
      </c>
      <c r="H46" s="44" t="n">
        <v>1996</v>
      </c>
      <c r="I46" s="69" t="inlineStr">
        <is>
          <t>996312490</t>
        </is>
      </c>
      <c r="J46" s="70" t="inlineStr">
        <is>
          <t>999429118432</t>
        </is>
      </c>
      <c r="K46" s="56" t="inlineStr">
        <is>
          <t>Người lao động làm việc tại doanh nghiệp</t>
        </is>
      </c>
      <c r="L46" s="44" t="inlineStr">
        <is>
          <t>Người lao động đang làm việc tại các doanh nghiệp trong và ngoài khu công nghiệp</t>
        </is>
      </c>
      <c r="M46" s="44" t="inlineStr">
        <is>
          <t>Công ty TNHH ACE Healthcare Vina</t>
        </is>
      </c>
      <c r="N46" s="65" t="n"/>
      <c r="O46" s="65" t="n"/>
      <c r="P46" s="44" t="n"/>
      <c r="Q46" s="65" t="n"/>
      <c r="R46" s="65" t="n"/>
      <c r="S46" s="44" t="inlineStr">
        <is>
          <t>Vợ (Chồng)</t>
        </is>
      </c>
      <c r="T46" s="65" t="n"/>
      <c r="U46" s="65" t="n"/>
    </row>
    <row r="47" ht="51" customHeight="1">
      <c r="A47" s="44">
        <f>IF(T47="","",MAX($A$3:A46)+1)</f>
        <v/>
      </c>
      <c r="B47" s="44" t="n"/>
      <c r="C47" s="44" t="n"/>
      <c r="D47" s="44" t="inlineStr">
        <is>
          <t>Dương Công Tùng</t>
        </is>
      </c>
      <c r="E47" s="48" t="inlineStr">
        <is>
          <t>0966194452</t>
        </is>
      </c>
      <c r="F47" s="68" t="n">
        <v>21</v>
      </c>
      <c r="G47" s="68" t="n">
        <v>7</v>
      </c>
      <c r="H47" s="44" t="n">
        <v>1993</v>
      </c>
      <c r="I47" s="69" t="inlineStr">
        <is>
          <t>998988090</t>
        </is>
      </c>
      <c r="J47" s="70" t="inlineStr">
        <is>
          <t>999284741243</t>
        </is>
      </c>
      <c r="K47" s="56" t="inlineStr">
        <is>
          <t>Người lao động làm việc tại doanh nghiệp</t>
        </is>
      </c>
      <c r="L47" s="44" t="inlineStr">
        <is>
          <t>Người lao động đang làm việc tại các doanh nghiệp trong và ngoài khu công nghiệp</t>
        </is>
      </c>
      <c r="M47" s="44" t="inlineStr">
        <is>
          <t>Công ty TNHH Samsung Display Việt Nam</t>
        </is>
      </c>
      <c r="N47" s="44" t="inlineStr">
        <is>
          <t>Chưa có nhà ở thuộc sở hữu của hộ gia đình</t>
        </is>
      </c>
      <c r="O47" s="44" t="inlineStr">
        <is>
          <t>Bắc Ninh</t>
        </is>
      </c>
      <c r="P47" s="44" t="n"/>
      <c r="Q47" s="44" t="inlineStr">
        <is>
          <t>Yên Phong</t>
        </is>
      </c>
      <c r="R47" s="44" t="inlineStr">
        <is>
          <t>Có thu nhập bình quân hàng tháng thực nhận không quá 50 triệu đồng</t>
        </is>
      </c>
      <c r="S47" s="44" t="inlineStr">
        <is>
          <t>Chủ hộ</t>
        </is>
      </c>
      <c r="T47" s="44" t="inlineStr">
        <is>
          <t>CTS-O-0307</t>
        </is>
      </c>
      <c r="U47" s="47" t="inlineStr">
        <is>
          <t>69.90</t>
        </is>
      </c>
    </row>
    <row r="48" ht="51" customHeight="1">
      <c r="A48" s="65" t="n"/>
      <c r="B48" s="44" t="n"/>
      <c r="C48" s="44" t="n"/>
      <c r="D48" s="44" t="inlineStr">
        <is>
          <t>Nguyễn Thanh Trang</t>
        </is>
      </c>
      <c r="E48" s="65" t="n"/>
      <c r="F48" s="68" t="n">
        <v>17</v>
      </c>
      <c r="G48" s="68" t="n">
        <v>4</v>
      </c>
      <c r="H48" s="44" t="n">
        <v>1996</v>
      </c>
      <c r="I48" s="69" t="inlineStr">
        <is>
          <t>995876835</t>
        </is>
      </c>
      <c r="J48" s="70" t="inlineStr">
        <is>
          <t>999777203651</t>
        </is>
      </c>
      <c r="K48" s="56" t="inlineStr">
        <is>
          <t>Lao động tự do</t>
        </is>
      </c>
      <c r="L48" s="44" t="inlineStr">
        <is>
          <t>Người thu nhập thấp tại khu vực đô thị</t>
        </is>
      </c>
      <c r="M48" s="44" t="inlineStr">
        <is>
          <t>Công an Xã Yên Phong</t>
        </is>
      </c>
      <c r="N48" s="65" t="n"/>
      <c r="O48" s="65" t="n"/>
      <c r="P48" s="44" t="n"/>
      <c r="Q48" s="65" t="n"/>
      <c r="R48" s="65" t="n"/>
      <c r="S48" s="44" t="inlineStr">
        <is>
          <t>Vợ (Chồng)</t>
        </is>
      </c>
      <c r="T48" s="65" t="n"/>
      <c r="U48" s="65" t="n"/>
    </row>
    <row r="49" ht="51" customHeight="1">
      <c r="A49" s="44">
        <f>IF(T49="","",MAX($A$3:A48)+1)</f>
        <v/>
      </c>
      <c r="B49" s="44" t="n"/>
      <c r="C49" s="44" t="n"/>
      <c r="D49" s="44" t="inlineStr">
        <is>
          <t>Phan Văn Vinh</t>
        </is>
      </c>
      <c r="E49" s="48" t="inlineStr">
        <is>
          <t>0901704452</t>
        </is>
      </c>
      <c r="F49" s="68" t="n">
        <v>5</v>
      </c>
      <c r="G49" s="68" t="n">
        <v>2</v>
      </c>
      <c r="H49" s="44" t="n">
        <v>1977</v>
      </c>
      <c r="I49" s="74" t="inlineStr">
        <is>
          <t>994428339</t>
        </is>
      </c>
      <c r="J49" s="70" t="inlineStr">
        <is>
          <t>999090167883</t>
        </is>
      </c>
      <c r="K49" s="56" t="inlineStr">
        <is>
          <t>Lao động tự do</t>
        </is>
      </c>
      <c r="L49" s="44" t="inlineStr">
        <is>
          <t>Người thu nhập thấp tại khu vực đô thị</t>
        </is>
      </c>
      <c r="M49" s="44" t="inlineStr">
        <is>
          <t>Công an Phường Bạch Mai</t>
        </is>
      </c>
      <c r="N49" s="44" t="inlineStr">
        <is>
          <t>Chưa có nhà ở thuộc sở hữu của hộ gia đình</t>
        </is>
      </c>
      <c r="O49" s="44" t="inlineStr">
        <is>
          <t>Hà Nội</t>
        </is>
      </c>
      <c r="P49" s="44" t="n"/>
      <c r="Q49" s="44" t="inlineStr">
        <is>
          <t>Bạch Mai</t>
        </is>
      </c>
      <c r="R49" s="44" t="inlineStr">
        <is>
          <t>Có thu nhập bình quân hàng tháng thực nhận không quá 25 triệu đồng</t>
        </is>
      </c>
      <c r="S49" s="44" t="inlineStr">
        <is>
          <t>Chủ hộ</t>
        </is>
      </c>
      <c r="T49" s="44" t="inlineStr">
        <is>
          <t>CTS-O-0309</t>
        </is>
      </c>
      <c r="U49" s="47" t="inlineStr">
        <is>
          <t>69.90</t>
        </is>
      </c>
    </row>
    <row r="50" ht="51" customHeight="1">
      <c r="A50" s="44">
        <f>IF(T50="","",MAX($A$3:A49)+1)</f>
        <v/>
      </c>
      <c r="B50" s="44" t="n"/>
      <c r="C50" s="44" t="n"/>
      <c r="D50" s="44" t="inlineStr">
        <is>
          <t>Bùi Tiến Hải</t>
        </is>
      </c>
      <c r="E50" s="48" t="inlineStr">
        <is>
          <t>0992443223</t>
        </is>
      </c>
      <c r="F50" s="68" t="n">
        <v>27</v>
      </c>
      <c r="G50" s="68" t="n">
        <v>7</v>
      </c>
      <c r="H50" s="44" t="n">
        <v>1995</v>
      </c>
      <c r="I50" s="69" t="inlineStr">
        <is>
          <t>995773266</t>
        </is>
      </c>
      <c r="J50" s="70" t="inlineStr">
        <is>
          <t>999543612636</t>
        </is>
      </c>
      <c r="K50" s="56" t="inlineStr">
        <is>
          <t>Người lao động làm việc tại doanh nghiệp</t>
        </is>
      </c>
      <c r="L50" s="44" t="inlineStr">
        <is>
          <t>Người lao động đang làm việc tại các doanh nghiệp trong và ngoài khu công nghiệp</t>
        </is>
      </c>
      <c r="M50" s="44" t="inlineStr">
        <is>
          <t>Công ty TNHH Công nghệ Boway Việt Nam</t>
        </is>
      </c>
      <c r="N50" s="44" t="inlineStr">
        <is>
          <t>Chưa có nhà ở thuộc sở hữu của hộ gia đình</t>
        </is>
      </c>
      <c r="O50" s="44" t="inlineStr">
        <is>
          <t>Bắc Ninh</t>
        </is>
      </c>
      <c r="P50" s="44" t="n"/>
      <c r="Q50" s="44" t="inlineStr">
        <is>
          <t>Tam Sơn</t>
        </is>
      </c>
      <c r="R50" s="44" t="inlineStr">
        <is>
          <t>Có thu nhập bình quân hàng tháng thực nhận không quá 50 triệu đồng</t>
        </is>
      </c>
      <c r="S50" s="44" t="inlineStr">
        <is>
          <t>Chủ hộ</t>
        </is>
      </c>
      <c r="T50" s="44" t="inlineStr">
        <is>
          <t>CTS-O-0310</t>
        </is>
      </c>
      <c r="U50" s="47" t="inlineStr">
        <is>
          <t>69.90</t>
        </is>
      </c>
    </row>
    <row r="51" ht="51" customHeight="1">
      <c r="A51" s="65" t="n"/>
      <c r="B51" s="44" t="n"/>
      <c r="C51" s="44" t="n"/>
      <c r="D51" s="44" t="inlineStr">
        <is>
          <t>Ngô Thanh Yến</t>
        </is>
      </c>
      <c r="E51" s="65" t="n"/>
      <c r="F51" s="68" t="n">
        <v>14</v>
      </c>
      <c r="G51" s="68" t="n">
        <v>8</v>
      </c>
      <c r="H51" s="44" t="n">
        <v>1994</v>
      </c>
      <c r="I51" s="69" t="inlineStr">
        <is>
          <t>994112693</t>
        </is>
      </c>
      <c r="J51" s="70" t="inlineStr">
        <is>
          <t>999441761248</t>
        </is>
      </c>
      <c r="K51" s="56" t="inlineStr">
        <is>
          <t>Lao động tự do</t>
        </is>
      </c>
      <c r="L51" s="44" t="inlineStr">
        <is>
          <t>Người thu nhập thấp tại khu vực đô thị</t>
        </is>
      </c>
      <c r="M51" s="44" t="inlineStr">
        <is>
          <t>Công an Phường Tam Sơn</t>
        </is>
      </c>
      <c r="N51" s="65" t="n"/>
      <c r="O51" s="65" t="n"/>
      <c r="P51" s="44" t="n"/>
      <c r="Q51" s="65" t="n"/>
      <c r="R51" s="65" t="n"/>
      <c r="S51" s="44" t="inlineStr">
        <is>
          <t>Vợ (Chồng)</t>
        </is>
      </c>
      <c r="T51" s="65" t="n"/>
      <c r="U51" s="65" t="n"/>
    </row>
    <row r="52" ht="51" customHeight="1">
      <c r="A52" s="44" t="n">
        <v>32</v>
      </c>
      <c r="B52" s="44" t="n"/>
      <c r="C52" s="44" t="n"/>
      <c r="D52" s="44" t="inlineStr">
        <is>
          <t>Đỗ Xuân Khoa</t>
        </is>
      </c>
      <c r="E52" s="48" t="inlineStr">
        <is>
          <t>0929088342</t>
        </is>
      </c>
      <c r="F52" s="68" t="n">
        <v>21</v>
      </c>
      <c r="G52" s="68" t="n">
        <v>2</v>
      </c>
      <c r="H52" s="44" t="n">
        <v>2002</v>
      </c>
      <c r="I52" s="69" t="inlineStr">
        <is>
          <t>994914103</t>
        </is>
      </c>
      <c r="J52" s="70" t="inlineStr">
        <is>
          <t>999283639605</t>
        </is>
      </c>
      <c r="K52" s="56" t="inlineStr">
        <is>
          <t>Người lao động làm việc tại doanh nghiệp</t>
        </is>
      </c>
      <c r="L52" s="44" t="inlineStr">
        <is>
          <t>Người lao động đang làm việc tại các doanh nghiệp trong và ngoài khu công nghiệp</t>
        </is>
      </c>
      <c r="M52" s="44" t="inlineStr">
        <is>
          <t>Công ty TNHH Samsung C&amp;T Corporation Việt Nam</t>
        </is>
      </c>
      <c r="N52" s="44" t="inlineStr">
        <is>
          <t>Chưa có nhà ở thuộc sở hữu của hộ gia đình</t>
        </is>
      </c>
      <c r="O52" s="44" t="inlineStr">
        <is>
          <t>Bắc Ninh</t>
        </is>
      </c>
      <c r="P52" s="44" t="n"/>
      <c r="Q52" s="44" t="inlineStr">
        <is>
          <t>Xuân Cẩm</t>
        </is>
      </c>
      <c r="R52" s="44" t="inlineStr">
        <is>
          <t>Có thu nhập bình quân hàng tháng thực nhận không quá 50 triệu đồng</t>
        </is>
      </c>
      <c r="S52" s="44" t="inlineStr">
        <is>
          <t>Chủ hộ</t>
        </is>
      </c>
      <c r="T52" s="44" t="inlineStr">
        <is>
          <t>CTS-O-0402</t>
        </is>
      </c>
      <c r="U52" s="47" t="inlineStr">
        <is>
          <t>69.40</t>
        </is>
      </c>
    </row>
    <row r="53" ht="51" customHeight="1">
      <c r="A53" s="65" t="n"/>
      <c r="B53" s="44" t="n"/>
      <c r="C53" s="44" t="n"/>
      <c r="D53" s="44" t="inlineStr">
        <is>
          <t>Hoàng Thanh Linh</t>
        </is>
      </c>
      <c r="E53" s="65" t="n"/>
      <c r="F53" s="68" t="n">
        <v>4</v>
      </c>
      <c r="G53" s="68" t="n">
        <v>12</v>
      </c>
      <c r="H53" s="44" t="n">
        <v>2004</v>
      </c>
      <c r="I53" s="69" t="inlineStr">
        <is>
          <t>998494737</t>
        </is>
      </c>
      <c r="J53" s="70" t="inlineStr">
        <is>
          <t>999125447998</t>
        </is>
      </c>
      <c r="K53" s="56" t="inlineStr">
        <is>
          <t>Người lao động làm việc tại doanh nghiệp</t>
        </is>
      </c>
      <c r="L53" s="44" t="inlineStr">
        <is>
          <t>Người lao động đang làm việc tại các doanh nghiệp trong và ngoài khu công nghiệp</t>
        </is>
      </c>
      <c r="M53" s="44" t="inlineStr">
        <is>
          <t>Công ty TNHH Samsung C&amp;T Corporation Việt Nam</t>
        </is>
      </c>
      <c r="N53" s="65" t="n"/>
      <c r="O53" s="65" t="n"/>
      <c r="P53" s="44" t="n"/>
      <c r="Q53" s="65" t="n"/>
      <c r="R53" s="65" t="n"/>
      <c r="S53" s="44" t="inlineStr">
        <is>
          <t>Vợ (Chồng)</t>
        </is>
      </c>
      <c r="T53" s="65" t="n"/>
      <c r="U53" s="65" t="n"/>
    </row>
    <row r="54" ht="51" customHeight="1">
      <c r="A54" s="44">
        <f>IF(T54="","",MAX($A$3:A53)+1)</f>
        <v/>
      </c>
      <c r="B54" s="44" t="n"/>
      <c r="C54" s="44" t="n"/>
      <c r="D54" s="44" t="inlineStr">
        <is>
          <t>Đặng Hồng Nhung</t>
        </is>
      </c>
      <c r="E54" s="48" t="inlineStr">
        <is>
          <t>0965530173</t>
        </is>
      </c>
      <c r="F54" s="68" t="n">
        <v>5</v>
      </c>
      <c r="G54" s="68" t="n">
        <v>8</v>
      </c>
      <c r="H54" s="44" t="n">
        <v>1992</v>
      </c>
      <c r="I54" s="69" t="inlineStr">
        <is>
          <t>998359590</t>
        </is>
      </c>
      <c r="J54" s="70" t="inlineStr">
        <is>
          <t>999825424405</t>
        </is>
      </c>
      <c r="K54" s="56" t="inlineStr">
        <is>
          <t>Lao động tự do</t>
        </is>
      </c>
      <c r="L54" s="44" t="inlineStr">
        <is>
          <t>Người thu nhập thấp tại khu vực đô thị</t>
        </is>
      </c>
      <c r="M54" s="44" t="inlineStr">
        <is>
          <t>Công An Xã Tam Đa</t>
        </is>
      </c>
      <c r="N54" s="44" t="inlineStr">
        <is>
          <t>Chưa có nhà ở thuộc sở hữu của hộ gia đình</t>
        </is>
      </c>
      <c r="O54" s="44" t="inlineStr">
        <is>
          <t>Bắc Ninh</t>
        </is>
      </c>
      <c r="P54" s="44" t="n"/>
      <c r="Q54" s="44" t="inlineStr">
        <is>
          <t>Tam Đa</t>
        </is>
      </c>
      <c r="R54" s="44" t="inlineStr">
        <is>
          <t>Có thu nhập bình quân hàng tháng thực nhận không quá 50 triệu đồng</t>
        </is>
      </c>
      <c r="S54" s="44" t="inlineStr">
        <is>
          <t>Chủ hộ</t>
        </is>
      </c>
      <c r="T54" s="44" t="inlineStr">
        <is>
          <t>CTS-O-0404</t>
        </is>
      </c>
      <c r="U54" s="47" t="inlineStr">
        <is>
          <t>69.40</t>
        </is>
      </c>
    </row>
    <row r="55" ht="74.25" customHeight="1">
      <c r="A55" s="65" t="n"/>
      <c r="B55" s="44" t="n"/>
      <c r="C55" s="44" t="n"/>
      <c r="D55" s="44" t="inlineStr">
        <is>
          <t>Lý Thanh Yến</t>
        </is>
      </c>
      <c r="E55" s="65" t="n"/>
      <c r="F55" s="68" t="n">
        <v>17</v>
      </c>
      <c r="G55" s="68" t="n">
        <v>8</v>
      </c>
      <c r="H55" s="44" t="n">
        <v>1989</v>
      </c>
      <c r="I55" s="69" t="inlineStr">
        <is>
          <t>999493518</t>
        </is>
      </c>
      <c r="J55" s="70" t="inlineStr">
        <is>
          <t>999280379735</t>
        </is>
      </c>
      <c r="K55" s="56" t="inlineStr">
        <is>
          <t>Người làm việc trong quân nhân chuyên nghiệp, công an, quân đội nhân dân</t>
        </is>
      </c>
      <c r="L55" s="44" t="inlineStr">
        <is>
          <t>Sĩ quan, hạn sĩ quan nghiệp vụ, hạ sĩ quan chuyên môn kĩ thuật, quân nhân chuyên nghiệp, công nhân trong cơ quan,  đơn vị thuộc công an nhân dân và quân đội nhân dân</t>
        </is>
      </c>
      <c r="M55" s="44" t="inlineStr">
        <is>
          <t>Ban Chỉ huy Quân sự xã Tam Đa</t>
        </is>
      </c>
      <c r="N55" s="65" t="n"/>
      <c r="O55" s="65" t="n"/>
      <c r="P55" s="44" t="n"/>
      <c r="Q55" s="65" t="n"/>
      <c r="R55" s="65" t="n"/>
      <c r="S55" s="44" t="inlineStr">
        <is>
          <t>Vợ (Chồng)</t>
        </is>
      </c>
      <c r="T55" s="65" t="n"/>
      <c r="U55" s="65" t="n"/>
    </row>
    <row r="56" ht="51" customHeight="1">
      <c r="A56" s="44">
        <f>IF(T56="","",MAX($A$3:A55)+1)</f>
        <v/>
      </c>
      <c r="B56" s="44" t="n"/>
      <c r="C56" s="44" t="n"/>
      <c r="D56" s="44" t="inlineStr">
        <is>
          <t>Đỗ Hữu Cường</t>
        </is>
      </c>
      <c r="E56" s="48" t="inlineStr">
        <is>
          <t>0962278059</t>
        </is>
      </c>
      <c r="F56" s="68" t="n">
        <v>5</v>
      </c>
      <c r="G56" s="68" t="n">
        <v>5</v>
      </c>
      <c r="H56" s="44" t="n">
        <v>1998</v>
      </c>
      <c r="I56" s="69" t="n"/>
      <c r="J56" s="70" t="inlineStr">
        <is>
          <t>999776104617</t>
        </is>
      </c>
      <c r="K56" s="56" t="inlineStr">
        <is>
          <t>Người lao động làm việc tại doanh nghiệp</t>
        </is>
      </c>
      <c r="L56" s="44" t="inlineStr">
        <is>
          <t>Người lao động đang làm việc tại các doanh nghiệp trong và ngoài khu công nghiệp</t>
        </is>
      </c>
      <c r="M56" s="44" t="inlineStr">
        <is>
          <t>Công ty TNHH Dịch vụ Thương mại MHV</t>
        </is>
      </c>
      <c r="N56" s="44" t="inlineStr">
        <is>
          <t>Chưa có nhà ở thuộc sở hữu của hộ gia đình</t>
        </is>
      </c>
      <c r="O56" s="44" t="inlineStr">
        <is>
          <t>Lâm Đồng</t>
        </is>
      </c>
      <c r="P56" s="44" t="n"/>
      <c r="Q56" s="44" t="inlineStr">
        <is>
          <t>Đam Rông 3</t>
        </is>
      </c>
      <c r="R56" s="44" t="inlineStr">
        <is>
          <t>Có thu nhập bình quân hàng tháng thực nhận không quá 50 triệu đồng</t>
        </is>
      </c>
      <c r="S56" s="44" t="inlineStr">
        <is>
          <t>Chủ hộ</t>
        </is>
      </c>
      <c r="T56" s="44" t="inlineStr">
        <is>
          <t>CTS-O-0405</t>
        </is>
      </c>
      <c r="U56" s="47" t="inlineStr">
        <is>
          <t>68.50</t>
        </is>
      </c>
    </row>
    <row r="57" ht="51" customHeight="1">
      <c r="A57" s="65" t="n"/>
      <c r="B57" s="44" t="n"/>
      <c r="C57" s="44" t="n"/>
      <c r="D57" s="44" t="inlineStr">
        <is>
          <t>Hoàng Phương Ngân</t>
        </is>
      </c>
      <c r="E57" s="65" t="n"/>
      <c r="F57" s="68" t="n">
        <v>17</v>
      </c>
      <c r="G57" s="68" t="n">
        <v>10</v>
      </c>
      <c r="H57" s="44" t="n">
        <v>2001</v>
      </c>
      <c r="I57" s="69" t="inlineStr">
        <is>
          <t>994213660</t>
        </is>
      </c>
      <c r="J57" s="70" t="inlineStr">
        <is>
          <t>999563435162</t>
        </is>
      </c>
      <c r="K57" s="56" t="inlineStr">
        <is>
          <t>Người lao động làm việc tại doanh nghiệp</t>
        </is>
      </c>
      <c r="L57" s="44" t="inlineStr">
        <is>
          <t>Người lao động đang làm việc tại các doanh nghiệp trong và ngoài khu công nghiệp</t>
        </is>
      </c>
      <c r="M57" s="44" t="inlineStr">
        <is>
          <t>Công ty TNHH Dịch vụ Thương mại MHV</t>
        </is>
      </c>
      <c r="N57" s="65" t="n"/>
      <c r="O57" s="65" t="n"/>
      <c r="P57" s="44" t="n"/>
      <c r="Q57" s="65" t="n"/>
      <c r="R57" s="65" t="n"/>
      <c r="S57" s="44" t="inlineStr">
        <is>
          <t>Vợ (Chồng)</t>
        </is>
      </c>
      <c r="T57" s="65" t="n"/>
      <c r="U57" s="65" t="n"/>
    </row>
    <row r="58" ht="51" customHeight="1">
      <c r="A58" s="44">
        <f>IF(T58="","",MAX($A$3:A57)+1)</f>
        <v/>
      </c>
      <c r="B58" s="44" t="n"/>
      <c r="C58" s="44" t="n"/>
      <c r="D58" s="44" t="inlineStr">
        <is>
          <t>Hoàng Tiến Cường</t>
        </is>
      </c>
      <c r="E58" s="48" t="inlineStr">
        <is>
          <t>0976405873</t>
        </is>
      </c>
      <c r="F58" s="68" t="n">
        <v>17</v>
      </c>
      <c r="G58" s="68" t="n">
        <v>9</v>
      </c>
      <c r="H58" s="44" t="n">
        <v>1992</v>
      </c>
      <c r="I58" s="69" t="inlineStr">
        <is>
          <t>998571122</t>
        </is>
      </c>
      <c r="J58" s="70" t="inlineStr">
        <is>
          <t>999308006690</t>
        </is>
      </c>
      <c r="K58" s="56" t="inlineStr">
        <is>
          <t>Người lao động làm việc tại doanh nghiệp</t>
        </is>
      </c>
      <c r="L58" s="44" t="inlineStr">
        <is>
          <t>Người lao động đang làm việc tại các doanh nghiệp trong và ngoài khu công nghiệp</t>
        </is>
      </c>
      <c r="M58" s="44" t="inlineStr">
        <is>
          <t>Công ty TNHH Samsung Display Việt Nam</t>
        </is>
      </c>
      <c r="N58" s="44" t="inlineStr">
        <is>
          <t>Chưa có nhà ở thuộc sở hữu của hộ gia đình</t>
        </is>
      </c>
      <c r="O58" s="44" t="inlineStr">
        <is>
          <t>Nghệ An</t>
        </is>
      </c>
      <c r="P58" s="44" t="n"/>
      <c r="Q58" s="44" t="inlineStr">
        <is>
          <t>Nghĩa Khánh</t>
        </is>
      </c>
      <c r="R58" s="44" t="inlineStr">
        <is>
          <t>Có thu nhập bình quân hàng tháng thực nhận không quá 50 triệu đồng</t>
        </is>
      </c>
      <c r="S58" s="44" t="inlineStr">
        <is>
          <t>Chủ hộ</t>
        </is>
      </c>
      <c r="T58" s="44" t="inlineStr">
        <is>
          <t>CTS-O-0407</t>
        </is>
      </c>
      <c r="U58" s="47" t="inlineStr">
        <is>
          <t>69.90</t>
        </is>
      </c>
    </row>
    <row r="59" ht="51" customHeight="1">
      <c r="A59" s="65" t="n"/>
      <c r="B59" s="44" t="n"/>
      <c r="C59" s="44" t="n"/>
      <c r="D59" s="44" t="inlineStr">
        <is>
          <t>Bùi Ngọc Oanh</t>
        </is>
      </c>
      <c r="E59" s="65" t="n"/>
      <c r="F59" s="68" t="n">
        <v>4</v>
      </c>
      <c r="G59" s="68" t="n">
        <v>12</v>
      </c>
      <c r="H59" s="44" t="n">
        <v>1990</v>
      </c>
      <c r="I59" s="69" t="inlineStr">
        <is>
          <t>996743993</t>
        </is>
      </c>
      <c r="J59" s="70" t="inlineStr">
        <is>
          <t>999772035888</t>
        </is>
      </c>
      <c r="K59" s="56" t="inlineStr">
        <is>
          <t>Người lao động làm việc tại doanh nghiệp</t>
        </is>
      </c>
      <c r="L59" s="44" t="inlineStr">
        <is>
          <t>Người lao động đang làm việc tại các doanh nghiệp trong và ngoài khu công nghiệp</t>
        </is>
      </c>
      <c r="M59" s="44" t="inlineStr">
        <is>
          <t>Công ty TNHH MTL Việt Nam</t>
        </is>
      </c>
      <c r="N59" s="65" t="n"/>
      <c r="O59" s="65" t="n"/>
      <c r="P59" s="44" t="n"/>
      <c r="Q59" s="65" t="n"/>
      <c r="R59" s="65" t="n"/>
      <c r="S59" s="44" t="inlineStr">
        <is>
          <t>Vợ (Chồng)</t>
        </is>
      </c>
      <c r="T59" s="65" t="n"/>
      <c r="U59" s="65" t="n"/>
    </row>
    <row r="60" ht="51" customHeight="1">
      <c r="A60" s="44">
        <f>IF(T60="","",MAX($A$3:A59)+1)</f>
        <v/>
      </c>
      <c r="B60" s="44" t="n"/>
      <c r="C60" s="44" t="n"/>
      <c r="D60" s="44" t="inlineStr">
        <is>
          <t>Ngô Tiến Sơn</t>
        </is>
      </c>
      <c r="E60" s="48" t="inlineStr">
        <is>
          <t>0922678942</t>
        </is>
      </c>
      <c r="F60" s="68" t="n">
        <v>27</v>
      </c>
      <c r="G60" s="68" t="n">
        <v>8</v>
      </c>
      <c r="H60" s="44" t="n">
        <v>1993</v>
      </c>
      <c r="I60" s="69" t="inlineStr">
        <is>
          <t>991926765</t>
        </is>
      </c>
      <c r="J60" s="70" t="inlineStr">
        <is>
          <t>999251880947</t>
        </is>
      </c>
      <c r="K60" s="56" t="inlineStr">
        <is>
          <t>Người lao động làm việc tại doanh nghiệp</t>
        </is>
      </c>
      <c r="L60" s="44" t="inlineStr">
        <is>
          <t>Người lao động đang làm việc tại các doanh nghiệp trong và ngoài khu công nghiệp</t>
        </is>
      </c>
      <c r="M60" s="44" t="inlineStr">
        <is>
          <t>Công ty TNHH Fushan Technology (Việt Nam)</t>
        </is>
      </c>
      <c r="N60" s="44" t="inlineStr">
        <is>
          <t>Chưa có nhà ở thuộc sở hữu của hộ gia đình</t>
        </is>
      </c>
      <c r="O60" s="44" t="inlineStr">
        <is>
          <t>Bắc Ninh</t>
        </is>
      </c>
      <c r="P60" s="44" t="n"/>
      <c r="Q60" s="44" t="inlineStr">
        <is>
          <t>Đại Đồng</t>
        </is>
      </c>
      <c r="R60" s="44" t="inlineStr">
        <is>
          <t>Có thu nhập bình quân hàng tháng thực nhận không quá 25 triệu đồng</t>
        </is>
      </c>
      <c r="S60" s="44" t="inlineStr">
        <is>
          <t>Chủ hộ</t>
        </is>
      </c>
      <c r="T60" s="44" t="inlineStr">
        <is>
          <t>CTS-O-0409</t>
        </is>
      </c>
      <c r="U60" s="47" t="inlineStr">
        <is>
          <t>69.90</t>
        </is>
      </c>
    </row>
    <row r="61" ht="51" customHeight="1">
      <c r="A61" s="44">
        <f>IF(T61="","",MAX($A$3:A60)+1)</f>
        <v/>
      </c>
      <c r="B61" s="44" t="n"/>
      <c r="C61" s="44" t="n"/>
      <c r="D61" s="44" t="inlineStr">
        <is>
          <t>Nguyễn Quang Bình</t>
        </is>
      </c>
      <c r="E61" s="48" t="inlineStr">
        <is>
          <t>0943774162</t>
        </is>
      </c>
      <c r="F61" s="68" t="n">
        <v>25</v>
      </c>
      <c r="G61" s="68" t="n">
        <v>8</v>
      </c>
      <c r="H61" s="44" t="n">
        <v>1997</v>
      </c>
      <c r="I61" s="69" t="inlineStr">
        <is>
          <t>994774540</t>
        </is>
      </c>
      <c r="J61" s="70" t="inlineStr">
        <is>
          <t>999779282526</t>
        </is>
      </c>
      <c r="K61" s="56" t="inlineStr">
        <is>
          <t>Người lao động làm việc tại doanh nghiệp</t>
        </is>
      </c>
      <c r="L61" s="44" t="inlineStr">
        <is>
          <t>Người lao động đang làm việc tại các doanh nghiệp trong và ngoài khu công nghiệp</t>
        </is>
      </c>
      <c r="M61" s="44" t="inlineStr">
        <is>
          <t>Công ty TNHH Công nghệ DCCK Việt Nam</t>
        </is>
      </c>
      <c r="N61" s="44" t="inlineStr">
        <is>
          <t>Chưa có nhà ở thuộc sở hữu của hộ gia đình</t>
        </is>
      </c>
      <c r="O61" s="44" t="inlineStr">
        <is>
          <t>Hải Phòng</t>
        </is>
      </c>
      <c r="P61" s="44" t="n"/>
      <c r="Q61" s="44" t="inlineStr">
        <is>
          <t>Phạm Sư Mạnh</t>
        </is>
      </c>
      <c r="R61" s="44" t="inlineStr">
        <is>
          <t>Có thu nhập bình quân hàng tháng thực nhận không quá 50 triệu đồng</t>
        </is>
      </c>
      <c r="S61" s="44" t="inlineStr">
        <is>
          <t>Chủ hộ</t>
        </is>
      </c>
      <c r="T61" s="44" t="inlineStr">
        <is>
          <t>CTS-O-0410</t>
        </is>
      </c>
      <c r="U61" s="47" t="inlineStr">
        <is>
          <t>69.90</t>
        </is>
      </c>
    </row>
    <row r="62" ht="51" customHeight="1">
      <c r="A62" s="65" t="n"/>
      <c r="B62" s="44" t="n"/>
      <c r="C62" s="44" t="n"/>
      <c r="D62" s="44" t="inlineStr">
        <is>
          <t>Phạm Hồng Yến</t>
        </is>
      </c>
      <c r="E62" s="65" t="n"/>
      <c r="F62" s="68" t="n">
        <v>12</v>
      </c>
      <c r="G62" s="68" t="n">
        <v>1</v>
      </c>
      <c r="H62" s="44" t="n">
        <v>2002</v>
      </c>
      <c r="I62" s="69" t="inlineStr">
        <is>
          <t>997924775</t>
        </is>
      </c>
      <c r="J62" s="70" t="inlineStr">
        <is>
          <t>999032123989</t>
        </is>
      </c>
      <c r="K62" s="56" t="inlineStr">
        <is>
          <t>Người lao động làm việc tại doanh nghiệp</t>
        </is>
      </c>
      <c r="L62" s="44" t="inlineStr">
        <is>
          <t>Người lao động đang làm việc tại các doanh nghiệp trong và ngoài khu công nghiệp</t>
        </is>
      </c>
      <c r="M62" s="44" t="inlineStr">
        <is>
          <t>Công ty TNHH Kỹ thuật Ninh An</t>
        </is>
      </c>
      <c r="N62" s="65" t="n"/>
      <c r="O62" s="65" t="n"/>
      <c r="P62" s="44" t="n"/>
      <c r="Q62" s="65" t="n"/>
      <c r="R62" s="65" t="n"/>
      <c r="S62" s="44" t="inlineStr">
        <is>
          <t>Vợ (Chồng)</t>
        </is>
      </c>
      <c r="T62" s="65" t="n"/>
      <c r="U62" s="65" t="n"/>
    </row>
    <row r="63" ht="51" customHeight="1">
      <c r="A63" s="44">
        <f>IF(T63="","",MAX($A$3:A62)+1)</f>
        <v/>
      </c>
      <c r="B63" s="44" t="n"/>
      <c r="C63" s="44" t="n"/>
      <c r="D63" s="44" t="inlineStr">
        <is>
          <t>Trần Minh Dũng</t>
        </is>
      </c>
      <c r="E63" s="48" t="inlineStr">
        <is>
          <t>0947002876</t>
        </is>
      </c>
      <c r="F63" s="68" t="n">
        <v>13</v>
      </c>
      <c r="G63" s="68" t="n">
        <v>7</v>
      </c>
      <c r="H63" s="44" t="n">
        <v>1998</v>
      </c>
      <c r="I63" s="69" t="inlineStr">
        <is>
          <t>991737667</t>
        </is>
      </c>
      <c r="J63" s="70" t="inlineStr">
        <is>
          <t>999172613121</t>
        </is>
      </c>
      <c r="K63" s="56" t="inlineStr">
        <is>
          <t>Người lao động làm việc tại doanh nghiệp</t>
        </is>
      </c>
      <c r="L63" s="44" t="inlineStr">
        <is>
          <t>Người lao động đang làm việc tại các doanh nghiệp trong và ngoài khu công nghiệp</t>
        </is>
      </c>
      <c r="M63" s="44" t="inlineStr">
        <is>
          <t>Công ty TNHH Samsung Display Việt Nam</t>
        </is>
      </c>
      <c r="N63" s="44" t="inlineStr">
        <is>
          <t>Chưa có nhà ở thuộc sở hữu của hộ gia đình</t>
        </is>
      </c>
      <c r="O63" s="44" t="inlineStr">
        <is>
          <t>Bắc Ninh</t>
        </is>
      </c>
      <c r="P63" s="44" t="n"/>
      <c r="Q63" s="44" t="inlineStr">
        <is>
          <t>Hiệp Hòa</t>
        </is>
      </c>
      <c r="R63" s="44" t="inlineStr">
        <is>
          <t>Có thu nhập bình quân hàng tháng thực nhận không quá 25 triệu đồng</t>
        </is>
      </c>
      <c r="S63" s="44" t="inlineStr">
        <is>
          <t>Chủ hộ</t>
        </is>
      </c>
      <c r="T63" s="44" t="inlineStr">
        <is>
          <t>CTS-O-0504</t>
        </is>
      </c>
      <c r="U63" s="47" t="inlineStr">
        <is>
          <t>69.40</t>
        </is>
      </c>
    </row>
    <row r="64" ht="51" customHeight="1">
      <c r="A64" s="44">
        <f>IF(T64="","",MAX($A$3:A63)+1)</f>
        <v/>
      </c>
      <c r="B64" s="44" t="n"/>
      <c r="C64" s="44" t="n"/>
      <c r="D64" s="44" t="inlineStr">
        <is>
          <t>Đỗ Công Vinh</t>
        </is>
      </c>
      <c r="E64" s="48" t="inlineStr">
        <is>
          <t>0995019576</t>
        </is>
      </c>
      <c r="F64" s="68" t="n">
        <v>10</v>
      </c>
      <c r="G64" s="68" t="n">
        <v>5</v>
      </c>
      <c r="H64" s="44" t="n">
        <v>2002</v>
      </c>
      <c r="I64" s="69" t="inlineStr">
        <is>
          <t>991272117</t>
        </is>
      </c>
      <c r="J64" s="70" t="inlineStr">
        <is>
          <t>999584807915</t>
        </is>
      </c>
      <c r="K64" s="56" t="inlineStr">
        <is>
          <t>Lao động tự do</t>
        </is>
      </c>
      <c r="L64" s="44" t="inlineStr">
        <is>
          <t>Người thu nhập thấp tại khu vực đô thị</t>
        </is>
      </c>
      <c r="M64" s="44" t="inlineStr">
        <is>
          <t>Công an Phường Võ Cường</t>
        </is>
      </c>
      <c r="N64" s="44" t="inlineStr">
        <is>
          <t>Chưa có nhà ở thuộc sở hữu của hộ gia đình</t>
        </is>
      </c>
      <c r="O64" s="44" t="inlineStr">
        <is>
          <t>Bắc Ninh</t>
        </is>
      </c>
      <c r="P64" s="44" t="n"/>
      <c r="Q64" s="44" t="inlineStr">
        <is>
          <t>Võ Cường</t>
        </is>
      </c>
      <c r="R64" s="44" t="inlineStr">
        <is>
          <t>Có thu nhập bình quân hàng tháng thực nhận không quá 25 triệu đồng</t>
        </is>
      </c>
      <c r="S64" s="44" t="inlineStr">
        <is>
          <t>Chủ hộ</t>
        </is>
      </c>
      <c r="T64" s="44" t="inlineStr">
        <is>
          <t>CTS-O-0509</t>
        </is>
      </c>
      <c r="U64" s="47" t="inlineStr">
        <is>
          <t>69.90</t>
        </is>
      </c>
    </row>
    <row r="65" ht="51" customHeight="1">
      <c r="A65" s="44">
        <f>IF(T65="","",MAX($A$3:A64)+1)</f>
        <v/>
      </c>
      <c r="B65" s="44" t="n"/>
      <c r="C65" s="44" t="n"/>
      <c r="D65" s="44" t="inlineStr">
        <is>
          <t>Ngô Minh Dung</t>
        </is>
      </c>
      <c r="E65" s="48" t="inlineStr">
        <is>
          <t>0901290659</t>
        </is>
      </c>
      <c r="F65" s="68" t="n">
        <v>22</v>
      </c>
      <c r="G65" s="68" t="n">
        <v>10</v>
      </c>
      <c r="H65" s="44" t="n">
        <v>1996</v>
      </c>
      <c r="I65" s="75" t="inlineStr">
        <is>
          <t>995233757</t>
        </is>
      </c>
      <c r="J65" s="70" t="inlineStr">
        <is>
          <t>999413454977</t>
        </is>
      </c>
      <c r="K65" s="56" t="inlineStr">
        <is>
          <t>Người lao động làm việc tại doanh nghiệp</t>
        </is>
      </c>
      <c r="L65" s="44" t="inlineStr">
        <is>
          <t>Người lao động đang làm việc tại các doanh nghiệp trong và ngoài khu công nghiệp</t>
        </is>
      </c>
      <c r="M65" s="44" t="inlineStr">
        <is>
          <t>Công ty TNHH Trang Thiết Bị Thông Minh STRONG Việt Nam</t>
        </is>
      </c>
      <c r="N65" s="44" t="inlineStr">
        <is>
          <t>Chưa có nhà ở thuộc sở hữu của hộ gia đình</t>
        </is>
      </c>
      <c r="O65" s="44" t="inlineStr">
        <is>
          <t>Bắc Ninh</t>
        </is>
      </c>
      <c r="P65" s="44" t="n"/>
      <c r="Q65" s="44" t="inlineStr">
        <is>
          <t>Yên Trung</t>
        </is>
      </c>
      <c r="R65" s="44" t="inlineStr">
        <is>
          <t>Có thu nhập bình quân hàng tháng thực nhận không quá 25 triệu đồng</t>
        </is>
      </c>
      <c r="S65" s="44" t="inlineStr">
        <is>
          <t>Chủ hộ</t>
        </is>
      </c>
      <c r="T65" s="44" t="inlineStr">
        <is>
          <t>CTS-O-0602</t>
        </is>
      </c>
      <c r="U65" s="47" t="inlineStr">
        <is>
          <t>69.40</t>
        </is>
      </c>
    </row>
    <row r="66" ht="51" customHeight="1">
      <c r="A66" s="44">
        <f>IF(T66="","",MAX($A$3:A65)+1)</f>
        <v/>
      </c>
      <c r="B66" s="44" t="n"/>
      <c r="C66" s="44" t="n"/>
      <c r="D66" s="44" t="inlineStr">
        <is>
          <t>Nguyễn Tiến Sơn</t>
        </is>
      </c>
      <c r="E66" s="48" t="inlineStr">
        <is>
          <t>0968453941</t>
        </is>
      </c>
      <c r="F66" s="68" t="n">
        <v>2</v>
      </c>
      <c r="G66" s="68" t="n">
        <v>2</v>
      </c>
      <c r="H66" s="44" t="n">
        <v>1987</v>
      </c>
      <c r="I66" s="69" t="inlineStr">
        <is>
          <t>992531761</t>
        </is>
      </c>
      <c r="J66" s="70" t="inlineStr">
        <is>
          <t>999189445132</t>
        </is>
      </c>
      <c r="K66" s="56" t="inlineStr">
        <is>
          <t>Người lao động làm việc tại doanh nghiệp</t>
        </is>
      </c>
      <c r="L66" s="44" t="inlineStr">
        <is>
          <t>Người lao động đang làm việc tại các doanh nghiệp trong và ngoài khu công nghiệp</t>
        </is>
      </c>
      <c r="M66" s="44" t="inlineStr">
        <is>
          <t>Hợp tác xã Nông sản Phú Lương - Chi nhánh Bắc Ninh</t>
        </is>
      </c>
      <c r="N66" s="44" t="inlineStr">
        <is>
          <t>Chưa có nhà ở thuộc sở hữu của hộ gia đình</t>
        </is>
      </c>
      <c r="O66" s="44" t="inlineStr">
        <is>
          <t>Bắc Ninh</t>
        </is>
      </c>
      <c r="P66" s="44" t="n"/>
      <c r="Q66" s="44" t="inlineStr">
        <is>
          <t>Võ Cường</t>
        </is>
      </c>
      <c r="R66" s="44" t="inlineStr">
        <is>
          <t>Có thu nhập bình quân hàng tháng thực nhận không quá 50 triệu đồng</t>
        </is>
      </c>
      <c r="S66" s="44" t="inlineStr">
        <is>
          <t>Chủ hộ</t>
        </is>
      </c>
      <c r="T66" s="44" t="inlineStr">
        <is>
          <t>CTS-O-0609</t>
        </is>
      </c>
      <c r="U66" s="47" t="inlineStr">
        <is>
          <t>69.90</t>
        </is>
      </c>
    </row>
    <row r="67" ht="51" customHeight="1">
      <c r="A67" s="65" t="n"/>
      <c r="B67" s="44" t="n"/>
      <c r="C67" s="44" t="n"/>
      <c r="D67" s="44" t="inlineStr">
        <is>
          <t>Dương Khánh Dung</t>
        </is>
      </c>
      <c r="E67" s="65" t="n"/>
      <c r="F67" s="68" t="n">
        <v>7</v>
      </c>
      <c r="G67" s="68" t="n">
        <v>4</v>
      </c>
      <c r="H67" s="44" t="n">
        <v>1986</v>
      </c>
      <c r="I67" s="69" t="inlineStr">
        <is>
          <t>995947286</t>
        </is>
      </c>
      <c r="J67" s="70" t="inlineStr">
        <is>
          <t>999073191069</t>
        </is>
      </c>
      <c r="K67" s="56" t="inlineStr">
        <is>
          <t>Người lao động làm việc tại doanh nghiệp</t>
        </is>
      </c>
      <c r="L67" s="44" t="inlineStr">
        <is>
          <t>Người lao động đang làm việc tại các doanh nghiệp trong và ngoài khu công nghiệp</t>
        </is>
      </c>
      <c r="M67" s="44" t="inlineStr">
        <is>
          <t>Hợp tác xã Nông sản Phú Lương - Chi nhánh Bắc Ninh</t>
        </is>
      </c>
      <c r="N67" s="65" t="n"/>
      <c r="O67" s="65" t="n"/>
      <c r="P67" s="44" t="n"/>
      <c r="Q67" s="65" t="n"/>
      <c r="R67" s="65" t="n"/>
      <c r="S67" s="44" t="inlineStr">
        <is>
          <t>Vợ (Chồng)</t>
        </is>
      </c>
      <c r="T67" s="65" t="n"/>
      <c r="U67" s="65" t="n"/>
    </row>
    <row r="68" ht="51" customHeight="1">
      <c r="A68" s="44">
        <f>IF(T68="","",MAX($A$3:A67)+1)</f>
        <v/>
      </c>
      <c r="B68" s="44" t="n"/>
      <c r="C68" s="44" t="n"/>
      <c r="D68" s="44" t="inlineStr">
        <is>
          <t>Phan Ngọc Giang</t>
        </is>
      </c>
      <c r="E68" s="48" t="inlineStr">
        <is>
          <t>0967458291</t>
        </is>
      </c>
      <c r="F68" s="68" t="n">
        <v>1</v>
      </c>
      <c r="G68" s="68" t="n">
        <v>11</v>
      </c>
      <c r="H68" s="44" t="n">
        <v>1969</v>
      </c>
      <c r="I68" s="69" t="inlineStr">
        <is>
          <t>993603171</t>
        </is>
      </c>
      <c r="J68" s="70" t="inlineStr">
        <is>
          <t>999094370140</t>
        </is>
      </c>
      <c r="K68" s="56" t="inlineStr">
        <is>
          <t>Lao động tự do</t>
        </is>
      </c>
      <c r="L68" s="44" t="inlineStr">
        <is>
          <t>Người thu nhập thấp tại khu vực đô thị</t>
        </is>
      </c>
      <c r="M68" s="44" t="inlineStr">
        <is>
          <t>Công an Xã Tam Đa</t>
        </is>
      </c>
      <c r="N68" s="44" t="inlineStr">
        <is>
          <t>Chưa có nhà ở thuộc sở hữu của hộ gia đình</t>
        </is>
      </c>
      <c r="O68" s="44" t="inlineStr">
        <is>
          <t>Bắc Ninh</t>
        </is>
      </c>
      <c r="P68" s="44" t="n"/>
      <c r="Q68" s="44" t="inlineStr">
        <is>
          <t>Tam Đa</t>
        </is>
      </c>
      <c r="R68" s="44" t="inlineStr">
        <is>
          <t>Có thu nhập bình quân hàng tháng thực nhận không quá 50 triệu đồng</t>
        </is>
      </c>
      <c r="S68" s="44" t="inlineStr">
        <is>
          <t>Chủ hộ</t>
        </is>
      </c>
      <c r="T68" s="44" t="inlineStr">
        <is>
          <t>CTS-O-0704</t>
        </is>
      </c>
      <c r="U68" s="47" t="inlineStr">
        <is>
          <t>69.40</t>
        </is>
      </c>
    </row>
    <row r="69" ht="51" customHeight="1">
      <c r="A69" s="65" t="n"/>
      <c r="B69" s="44" t="n"/>
      <c r="C69" s="44" t="n"/>
      <c r="D69" s="44" t="inlineStr">
        <is>
          <t>Phạm Hồng Anh</t>
        </is>
      </c>
      <c r="E69" s="65" t="n"/>
      <c r="F69" s="68" t="n">
        <v>1</v>
      </c>
      <c r="G69" s="68" t="n">
        <v>2</v>
      </c>
      <c r="H69" s="44" t="n">
        <v>1967</v>
      </c>
      <c r="I69" s="69" t="inlineStr">
        <is>
          <t>997209999</t>
        </is>
      </c>
      <c r="J69" s="70" t="inlineStr">
        <is>
          <t>999012282563</t>
        </is>
      </c>
      <c r="K69" s="56" t="inlineStr">
        <is>
          <t>Lao động tự do</t>
        </is>
      </c>
      <c r="L69" s="44" t="inlineStr">
        <is>
          <t>Người thu nhập thấp tại khu vực đô thị</t>
        </is>
      </c>
      <c r="M69" s="44" t="inlineStr">
        <is>
          <t>Công an Xã Tam Đa</t>
        </is>
      </c>
      <c r="N69" s="65" t="n"/>
      <c r="O69" s="65" t="n"/>
      <c r="P69" s="44" t="n"/>
      <c r="Q69" s="65" t="n"/>
      <c r="R69" s="65" t="n"/>
      <c r="S69" s="44" t="inlineStr">
        <is>
          <t>Vợ (Chồng)</t>
        </is>
      </c>
      <c r="T69" s="65" t="n"/>
      <c r="U69" s="65" t="n"/>
    </row>
    <row r="70" ht="51" customHeight="1">
      <c r="A70" s="44">
        <f>IF(T70="","",MAX($A$3:A69)+1)</f>
        <v/>
      </c>
      <c r="B70" s="44" t="n"/>
      <c r="C70" s="44" t="n"/>
      <c r="D70" s="44" t="inlineStr">
        <is>
          <t>Ngô Văn Tùng</t>
        </is>
      </c>
      <c r="E70" s="48" t="inlineStr">
        <is>
          <t>0920704806</t>
        </is>
      </c>
      <c r="F70" s="68" t="n">
        <v>17</v>
      </c>
      <c r="G70" s="68" t="n">
        <v>1</v>
      </c>
      <c r="H70" s="44" t="n">
        <v>1989</v>
      </c>
      <c r="I70" s="69" t="inlineStr">
        <is>
          <t>993785692</t>
        </is>
      </c>
      <c r="J70" s="70" t="inlineStr">
        <is>
          <t>999711026612</t>
        </is>
      </c>
      <c r="K70" s="56" t="inlineStr">
        <is>
          <t>Lao động tự do</t>
        </is>
      </c>
      <c r="L70" s="44" t="inlineStr">
        <is>
          <t>Người thu nhập thấp tại khu vực đô thị</t>
        </is>
      </c>
      <c r="M70" s="44" t="inlineStr">
        <is>
          <t>Công an Phường Nghĩa Đô</t>
        </is>
      </c>
      <c r="N70" s="44" t="inlineStr">
        <is>
          <t>Chưa có nhà ở thuộc sở hữu của hộ gia đình</t>
        </is>
      </c>
      <c r="O70" s="44" t="inlineStr">
        <is>
          <t>Hà Nội</t>
        </is>
      </c>
      <c r="P70" s="44" t="n"/>
      <c r="Q70" s="44" t="inlineStr">
        <is>
          <t>Nghĩa Đô</t>
        </is>
      </c>
      <c r="R70" s="44" t="inlineStr">
        <is>
          <t>Có thu nhập bình quân hàng tháng thực nhận không quá 25 triệu đồng</t>
        </is>
      </c>
      <c r="S70" s="44" t="inlineStr">
        <is>
          <t>Chủ hộ</t>
        </is>
      </c>
      <c r="T70" s="44" t="inlineStr">
        <is>
          <t>CTS-O-0708</t>
        </is>
      </c>
      <c r="U70" s="47" t="inlineStr">
        <is>
          <t>69.90</t>
        </is>
      </c>
    </row>
    <row r="71" ht="51" customHeight="1">
      <c r="A71" s="44">
        <f>IF(T71="","",MAX($A$3:A70)+1)</f>
        <v/>
      </c>
      <c r="B71" s="44" t="n"/>
      <c r="C71" s="44" t="n"/>
      <c r="D71" s="44" t="inlineStr">
        <is>
          <t>Đỗ Phương Thảo</t>
        </is>
      </c>
      <c r="E71" s="48" t="inlineStr">
        <is>
          <t>0902215752</t>
        </is>
      </c>
      <c r="F71" s="68" t="n">
        <v>23</v>
      </c>
      <c r="G71" s="68" t="n">
        <v>8</v>
      </c>
      <c r="H71" s="44" t="n">
        <v>2001</v>
      </c>
      <c r="I71" s="69" t="n"/>
      <c r="J71" s="70" t="inlineStr">
        <is>
          <t>999887858145</t>
        </is>
      </c>
      <c r="K71" s="56" t="inlineStr">
        <is>
          <t>Người lao động làm việc tại doanh nghiệp</t>
        </is>
      </c>
      <c r="L71" s="44" t="inlineStr">
        <is>
          <t>Người lao động đang làm việc tại các doanh nghiệp trong và ngoài khu công nghiệp</t>
        </is>
      </c>
      <c r="M71" s="44" t="inlineStr">
        <is>
          <t>Công ty Cổ phần Hasaki Vietnam</t>
        </is>
      </c>
      <c r="N71" s="44" t="inlineStr">
        <is>
          <t>Chưa có nhà ở thuộc sở hữu của hộ gia đình</t>
        </is>
      </c>
      <c r="O71" s="44" t="inlineStr">
        <is>
          <t>Hưng Yên</t>
        </is>
      </c>
      <c r="P71" s="44" t="n"/>
      <c r="Q71" s="44" t="inlineStr">
        <is>
          <t>Quỳnh An</t>
        </is>
      </c>
      <c r="R71" s="44" t="inlineStr">
        <is>
          <t>Có thu nhập bình quân hàng tháng thực nhận không quá 50 triệu đồng</t>
        </is>
      </c>
      <c r="S71" s="44" t="inlineStr">
        <is>
          <t>Chủ hộ</t>
        </is>
      </c>
      <c r="T71" s="44" t="inlineStr">
        <is>
          <t>CTS-O-0709</t>
        </is>
      </c>
      <c r="U71" s="47" t="inlineStr">
        <is>
          <t>69.90</t>
        </is>
      </c>
    </row>
    <row r="72" ht="51" customHeight="1">
      <c r="A72" s="65" t="n"/>
      <c r="B72" s="44" t="n"/>
      <c r="C72" s="44" t="n"/>
      <c r="D72" s="44" t="inlineStr">
        <is>
          <t>Dương Phương Dung</t>
        </is>
      </c>
      <c r="E72" s="65" t="n"/>
      <c r="F72" s="68" t="n">
        <v>5</v>
      </c>
      <c r="G72" s="68" t="n">
        <v>12</v>
      </c>
      <c r="H72" s="44" t="n">
        <v>2000</v>
      </c>
      <c r="I72" s="69" t="inlineStr">
        <is>
          <t>995084367</t>
        </is>
      </c>
      <c r="J72" s="70" t="inlineStr">
        <is>
          <t>999930321316</t>
        </is>
      </c>
      <c r="K72" s="56" t="inlineStr">
        <is>
          <t>Người lao động làm việc tại doanh nghiệp</t>
        </is>
      </c>
      <c r="L72" s="44" t="inlineStr">
        <is>
          <t>Người lao động đang làm việc tại các doanh nghiệp trong và ngoài khu công nghiệp</t>
        </is>
      </c>
      <c r="M72" s="44" t="inlineStr">
        <is>
          <t>Công ty Cổ phần Hasaki Vietnam</t>
        </is>
      </c>
      <c r="N72" s="65" t="n"/>
      <c r="O72" s="65" t="n"/>
      <c r="P72" s="44" t="n"/>
      <c r="Q72" s="65" t="n"/>
      <c r="R72" s="65" t="n"/>
      <c r="S72" s="44" t="inlineStr">
        <is>
          <t>Vợ (Chồng)</t>
        </is>
      </c>
      <c r="T72" s="65" t="n"/>
      <c r="U72" s="65" t="n"/>
    </row>
    <row r="73" ht="51" customHeight="1">
      <c r="A73" s="44">
        <f>IF(T73="","",MAX($A$3:A72)+1)</f>
        <v/>
      </c>
      <c r="B73" s="44" t="n"/>
      <c r="C73" s="44" t="n"/>
      <c r="D73" s="44" t="inlineStr">
        <is>
          <t>Hoàng Hữu Dũng</t>
        </is>
      </c>
      <c r="E73" s="48" t="inlineStr">
        <is>
          <t>0958242022</t>
        </is>
      </c>
      <c r="F73" s="68" t="n">
        <v>19</v>
      </c>
      <c r="G73" s="68" t="n">
        <v>3</v>
      </c>
      <c r="H73" s="44" t="n">
        <v>2003</v>
      </c>
      <c r="I73" s="69" t="inlineStr">
        <is>
          <t>992849243</t>
        </is>
      </c>
      <c r="J73" s="70" t="inlineStr">
        <is>
          <t>999527899268</t>
        </is>
      </c>
      <c r="K73" s="56" t="inlineStr">
        <is>
          <t>Người lao động làm việc tại doanh nghiệp</t>
        </is>
      </c>
      <c r="L73" s="44" t="inlineStr">
        <is>
          <t>Người lao động đang làm việc tại các doanh nghiệp trong và ngoài khu công nghiệp</t>
        </is>
      </c>
      <c r="M73" s="44" t="inlineStr">
        <is>
          <t>Công ty TNHH Fukang Technology</t>
        </is>
      </c>
      <c r="N73" s="44" t="inlineStr">
        <is>
          <t>Chưa có nhà ở thuộc sở hữu của hộ gia đình</t>
        </is>
      </c>
      <c r="O73" s="44" t="inlineStr">
        <is>
          <t>Bắc Ninh</t>
        </is>
      </c>
      <c r="P73" s="44" t="n"/>
      <c r="Q73" s="44" t="inlineStr">
        <is>
          <t>Nam Sơn</t>
        </is>
      </c>
      <c r="R73" s="44" t="inlineStr">
        <is>
          <t>Có thu nhập bình quân hàng tháng thực nhận không quá 25 triệu đồng</t>
        </is>
      </c>
      <c r="S73" s="44" t="inlineStr">
        <is>
          <t>Chủ hộ</t>
        </is>
      </c>
      <c r="T73" s="44" t="inlineStr">
        <is>
          <t>CTS-O-0804</t>
        </is>
      </c>
      <c r="U73" s="47" t="inlineStr">
        <is>
          <t>69.40</t>
        </is>
      </c>
    </row>
    <row r="74" ht="51" customHeight="1">
      <c r="A74" s="44">
        <f>IF(T74="","",MAX($A$3:A73)+1)</f>
        <v/>
      </c>
      <c r="B74" s="44" t="n"/>
      <c r="C74" s="44" t="n"/>
      <c r="D74" s="44" t="inlineStr">
        <is>
          <t>Dương Tiến Việt</t>
        </is>
      </c>
      <c r="E74" s="48" t="inlineStr">
        <is>
          <t>0973460023</t>
        </is>
      </c>
      <c r="F74" s="68" t="n">
        <v>7</v>
      </c>
      <c r="G74" s="68" t="n">
        <v>1</v>
      </c>
      <c r="H74" s="44" t="n">
        <v>1984</v>
      </c>
      <c r="I74" s="69" t="inlineStr">
        <is>
          <t>997803881</t>
        </is>
      </c>
      <c r="J74" s="70" t="inlineStr">
        <is>
          <t>999088572337</t>
        </is>
      </c>
      <c r="K74" s="56" t="inlineStr">
        <is>
          <t>Lao động tự do</t>
        </is>
      </c>
      <c r="L74" s="44" t="inlineStr">
        <is>
          <t>Người thu nhập thấp tại khu vực đô thị</t>
        </is>
      </c>
      <c r="M74" s="44" t="inlineStr">
        <is>
          <t>Công an Xã Tam Đa</t>
        </is>
      </c>
      <c r="N74" s="44" t="inlineStr">
        <is>
          <t>Chưa có nhà ở thuộc sở hữu của hộ gia đình</t>
        </is>
      </c>
      <c r="O74" s="44" t="inlineStr">
        <is>
          <t>Bắc Ninh</t>
        </is>
      </c>
      <c r="P74" s="44" t="n"/>
      <c r="Q74" s="44" t="inlineStr">
        <is>
          <t>Tam Đa</t>
        </is>
      </c>
      <c r="R74" s="44" t="inlineStr">
        <is>
          <t>Có thu nhập bình quân hàng tháng thực nhận không quá 25 triệu đồng</t>
        </is>
      </c>
      <c r="S74" s="44" t="inlineStr">
        <is>
          <t>Chủ hộ</t>
        </is>
      </c>
      <c r="T74" s="44" t="inlineStr">
        <is>
          <t>CTS-O-0901</t>
        </is>
      </c>
      <c r="U74" s="47" t="inlineStr">
        <is>
          <t>68.50</t>
        </is>
      </c>
    </row>
    <row r="75" ht="51" customHeight="1">
      <c r="A75" s="44">
        <f>IF(T75="","",MAX($A$3:A74)+1)</f>
        <v/>
      </c>
      <c r="B75" s="44" t="n"/>
      <c r="C75" s="44" t="n"/>
      <c r="D75" s="44" t="inlineStr">
        <is>
          <t>Bùi Hữu Hùng</t>
        </is>
      </c>
      <c r="E75" s="48" t="inlineStr">
        <is>
          <t>0981420160</t>
        </is>
      </c>
      <c r="F75" s="68" t="n">
        <v>26</v>
      </c>
      <c r="G75" s="68" t="n">
        <v>6</v>
      </c>
      <c r="H75" s="44" t="n">
        <v>1997</v>
      </c>
      <c r="I75" s="69" t="inlineStr">
        <is>
          <t>999237098</t>
        </is>
      </c>
      <c r="J75" s="70" t="inlineStr">
        <is>
          <t>999590886080</t>
        </is>
      </c>
      <c r="K75" s="56" t="inlineStr">
        <is>
          <t>Người lao động làm việc tại doanh nghiệp</t>
        </is>
      </c>
      <c r="L75" s="44" t="inlineStr">
        <is>
          <t>Người lao động đang làm việc tại các doanh nghiệp trong và ngoài khu công nghiệp</t>
        </is>
      </c>
      <c r="M75" s="44" t="inlineStr">
        <is>
          <t>Công ty TNHH Công nghệ Hoa Đình</t>
        </is>
      </c>
      <c r="N75" s="44" t="inlineStr">
        <is>
          <t>Chưa có nhà ở thuộc sở hữu của hộ gia đình</t>
        </is>
      </c>
      <c r="O75" s="44" t="inlineStr">
        <is>
          <t>Bắc Ninh</t>
        </is>
      </c>
      <c r="P75" s="44" t="n"/>
      <c r="Q75" s="44" t="inlineStr">
        <is>
          <t>Nhân Hòa</t>
        </is>
      </c>
      <c r="R75" s="44" t="inlineStr">
        <is>
          <t>Có thu nhập bình quân hàng tháng thực nhận không quá 50 triệu đồng</t>
        </is>
      </c>
      <c r="S75" s="44" t="inlineStr">
        <is>
          <t>Chủ hộ</t>
        </is>
      </c>
      <c r="T75" s="44" t="inlineStr">
        <is>
          <t>CTS-O-0902</t>
        </is>
      </c>
      <c r="U75" s="47" t="inlineStr">
        <is>
          <t>69.40</t>
        </is>
      </c>
    </row>
    <row r="76" ht="51" customHeight="1">
      <c r="A76" s="65" t="n"/>
      <c r="B76" s="44" t="n"/>
      <c r="C76" s="44" t="n"/>
      <c r="D76" s="44" t="inlineStr">
        <is>
          <t>Đỗ Thị Linh</t>
        </is>
      </c>
      <c r="E76" s="65" t="n"/>
      <c r="F76" s="68" t="n">
        <v>27</v>
      </c>
      <c r="G76" s="68" t="n">
        <v>10</v>
      </c>
      <c r="H76" s="44" t="n">
        <v>1994</v>
      </c>
      <c r="I76" s="69" t="inlineStr">
        <is>
          <t>997382295</t>
        </is>
      </c>
      <c r="J76" s="70" t="inlineStr">
        <is>
          <t>999805203524</t>
        </is>
      </c>
      <c r="K76" s="56" t="inlineStr">
        <is>
          <t>Người lao động làm việc tại doanh nghiệp</t>
        </is>
      </c>
      <c r="L76" s="44" t="inlineStr">
        <is>
          <t>Người lao động đang làm việc tại các doanh nghiệp trong và ngoài khu công nghiệp</t>
        </is>
      </c>
      <c r="M76" s="44" t="inlineStr">
        <is>
          <t>Công ty TNHH MTV Kinh doanh và Dịch vụ Ô tô Long Biên</t>
        </is>
      </c>
      <c r="N76" s="65" t="n"/>
      <c r="O76" s="65" t="n"/>
      <c r="P76" s="44" t="n"/>
      <c r="Q76" s="65" t="n"/>
      <c r="R76" s="65" t="n"/>
      <c r="S76" s="44" t="inlineStr">
        <is>
          <t>Vợ (Chồng)</t>
        </is>
      </c>
      <c r="T76" s="65" t="n"/>
      <c r="U76" s="65" t="n"/>
    </row>
    <row r="77" ht="51" customHeight="1">
      <c r="A77" s="44">
        <f>IF(T77="","",MAX($A$3:A76)+1)</f>
        <v/>
      </c>
      <c r="B77" s="44" t="n"/>
      <c r="C77" s="44" t="n"/>
      <c r="D77" s="44" t="inlineStr">
        <is>
          <t>Lê Hồng Anh</t>
        </is>
      </c>
      <c r="E77" s="48" t="inlineStr">
        <is>
          <t>0934361047</t>
        </is>
      </c>
      <c r="F77" s="68" t="n">
        <v>1</v>
      </c>
      <c r="G77" s="68" t="n">
        <v>5</v>
      </c>
      <c r="H77" s="44" t="n">
        <v>1997</v>
      </c>
      <c r="I77" s="69" t="inlineStr">
        <is>
          <t>996760712</t>
        </is>
      </c>
      <c r="J77" s="73" t="inlineStr">
        <is>
          <t>999155699383</t>
        </is>
      </c>
      <c r="K77" s="56" t="inlineStr">
        <is>
          <t>Người lao động làm việc tại doanh nghiệp</t>
        </is>
      </c>
      <c r="L77" s="44" t="inlineStr">
        <is>
          <t>Người lao động đang làm việc tại các doanh nghiệp trong và ngoài khu công nghiệp</t>
        </is>
      </c>
      <c r="M77" s="44" t="inlineStr">
        <is>
          <t>Công ty TNHH Great Power Việt Nam</t>
        </is>
      </c>
      <c r="N77" s="44" t="inlineStr">
        <is>
          <t>Chưa có nhà ở thuộc sở hữu của hộ gia đình</t>
        </is>
      </c>
      <c r="O77" s="44" t="inlineStr">
        <is>
          <t>Thanh Hóa</t>
        </is>
      </c>
      <c r="P77" s="44" t="n"/>
      <c r="Q77" s="44" t="inlineStr">
        <is>
          <t>Tĩnh Gia</t>
        </is>
      </c>
      <c r="R77" s="44" t="inlineStr">
        <is>
          <t>Có thu nhập bình quân hàng tháng thực nhận không quá 50 triệu đồng</t>
        </is>
      </c>
      <c r="S77" s="44" t="inlineStr">
        <is>
          <t>Chủ hộ</t>
        </is>
      </c>
      <c r="T77" s="44" t="inlineStr">
        <is>
          <t>CTS-O-0904</t>
        </is>
      </c>
      <c r="U77" s="47" t="inlineStr">
        <is>
          <t>69.40</t>
        </is>
      </c>
    </row>
    <row r="78" ht="51" customHeight="1">
      <c r="A78" s="65" t="n"/>
      <c r="B78" s="44" t="n"/>
      <c r="C78" s="44" t="n"/>
      <c r="D78" s="44" t="inlineStr">
        <is>
          <t>Bùi Thanh Lan</t>
        </is>
      </c>
      <c r="E78" s="65" t="n"/>
      <c r="F78" s="68" t="n">
        <v>7</v>
      </c>
      <c r="G78" s="68" t="n">
        <v>5</v>
      </c>
      <c r="H78" s="44" t="n">
        <v>1999</v>
      </c>
      <c r="I78" s="69" t="inlineStr">
        <is>
          <t>994772352</t>
        </is>
      </c>
      <c r="J78" s="70" t="inlineStr">
        <is>
          <t>999136548060</t>
        </is>
      </c>
      <c r="K78" s="56" t="inlineStr">
        <is>
          <t>Lao động tự do</t>
        </is>
      </c>
      <c r="L78" s="44" t="inlineStr">
        <is>
          <t>Người thu nhập thấp tại khu vực đô thị</t>
        </is>
      </c>
      <c r="M78" s="44" t="inlineStr">
        <is>
          <t>Công an Phường Tĩnh Gia</t>
        </is>
      </c>
      <c r="N78" s="65" t="n"/>
      <c r="O78" s="65" t="n"/>
      <c r="P78" s="44" t="n"/>
      <c r="Q78" s="65" t="n"/>
      <c r="R78" s="65" t="n"/>
      <c r="S78" s="44" t="inlineStr">
        <is>
          <t>Vợ (Chồng)</t>
        </is>
      </c>
      <c r="T78" s="65" t="n"/>
      <c r="U78" s="65" t="n"/>
    </row>
    <row r="79" ht="51" customHeight="1">
      <c r="A79" s="44">
        <f>IF(T79="","",MAX($A$3:A78)+1)</f>
        <v/>
      </c>
      <c r="B79" s="44" t="n"/>
      <c r="C79" s="44" t="n"/>
      <c r="D79" s="44" t="inlineStr">
        <is>
          <t>Trần Ngọc Oanh</t>
        </is>
      </c>
      <c r="E79" s="48" t="inlineStr">
        <is>
          <t>0915585570</t>
        </is>
      </c>
      <c r="F79" s="68" t="n">
        <v>3</v>
      </c>
      <c r="G79" s="68" t="n">
        <v>1</v>
      </c>
      <c r="H79" s="44" t="n">
        <v>1995</v>
      </c>
      <c r="I79" s="69" t="inlineStr">
        <is>
          <t>990111319</t>
        </is>
      </c>
      <c r="J79" s="70" t="inlineStr">
        <is>
          <t>999629052426</t>
        </is>
      </c>
      <c r="K79" s="56" t="inlineStr">
        <is>
          <t>Người lao động làm việc tại doanh nghiệp</t>
        </is>
      </c>
      <c r="L79" s="44" t="inlineStr">
        <is>
          <t>Người lao động đang làm việc tại các doanh nghiệp trong và ngoài khu công nghiệp</t>
        </is>
      </c>
      <c r="M79" s="44" t="inlineStr">
        <is>
          <t>Công ty TNHH Canon Việt Nam - Chi nhánh Quế Võ</t>
        </is>
      </c>
      <c r="N79" s="44" t="inlineStr">
        <is>
          <t>Chưa có nhà ở thuộc sở hữu của hộ gia đình</t>
        </is>
      </c>
      <c r="O79" s="44" t="inlineStr">
        <is>
          <t>Bắc Ninh</t>
        </is>
      </c>
      <c r="P79" s="44" t="n"/>
      <c r="Q79" s="44" t="inlineStr">
        <is>
          <t>Vân Hà</t>
        </is>
      </c>
      <c r="R79" s="44" t="inlineStr">
        <is>
          <t>Có thu nhập bình quân hàng tháng thực nhận không quá 50 triệu đồng</t>
        </is>
      </c>
      <c r="S79" s="44" t="inlineStr">
        <is>
          <t>Chủ hộ</t>
        </is>
      </c>
      <c r="T79" s="44" t="inlineStr">
        <is>
          <t>CTS-O-0905</t>
        </is>
      </c>
      <c r="U79" s="47" t="inlineStr">
        <is>
          <t>68.50</t>
        </is>
      </c>
    </row>
    <row r="80" ht="51" customHeight="1">
      <c r="A80" s="65" t="n"/>
      <c r="B80" s="44" t="n"/>
      <c r="C80" s="44" t="n"/>
      <c r="D80" s="44" t="inlineStr">
        <is>
          <t>Bùi Minh Nhung</t>
        </is>
      </c>
      <c r="E80" s="65" t="n"/>
      <c r="F80" s="68" t="n">
        <v>10</v>
      </c>
      <c r="G80" s="68" t="n">
        <v>8</v>
      </c>
      <c r="H80" s="44" t="n">
        <v>1994</v>
      </c>
      <c r="I80" s="69" t="inlineStr">
        <is>
          <t>994186587</t>
        </is>
      </c>
      <c r="J80" s="70" t="inlineStr">
        <is>
          <t>999469704765</t>
        </is>
      </c>
      <c r="K80" s="56" t="inlineStr">
        <is>
          <t>Lao động tự do</t>
        </is>
      </c>
      <c r="L80" s="44" t="inlineStr">
        <is>
          <t>Người thu nhập thấp tại khu vực đô thị</t>
        </is>
      </c>
      <c r="M80" s="44" t="inlineStr">
        <is>
          <t>Công an Phường Vân Hà</t>
        </is>
      </c>
      <c r="N80" s="65" t="n"/>
      <c r="O80" s="65" t="n"/>
      <c r="P80" s="44" t="n"/>
      <c r="Q80" s="65" t="n"/>
      <c r="R80" s="65" t="n"/>
      <c r="S80" s="44" t="inlineStr">
        <is>
          <t>Vợ (Chồng)</t>
        </is>
      </c>
      <c r="T80" s="65" t="n"/>
      <c r="U80" s="65" t="n"/>
    </row>
    <row r="81" ht="51" customHeight="1">
      <c r="A81" s="44">
        <f>IF(T81="","",MAX($A$3:A80)+1)</f>
        <v/>
      </c>
      <c r="B81" s="44" t="n"/>
      <c r="C81" s="44" t="n"/>
      <c r="D81" s="44" t="inlineStr">
        <is>
          <t>Đặng Khánh Linh</t>
        </is>
      </c>
      <c r="E81" s="48" t="inlineStr">
        <is>
          <t>0939108203</t>
        </is>
      </c>
      <c r="F81" s="68" t="n">
        <v>14</v>
      </c>
      <c r="G81" s="68" t="n">
        <v>10</v>
      </c>
      <c r="H81" s="44" t="n">
        <v>2000</v>
      </c>
      <c r="I81" s="69" t="inlineStr">
        <is>
          <t>992007422</t>
        </is>
      </c>
      <c r="J81" s="70" t="inlineStr">
        <is>
          <t>999464535776</t>
        </is>
      </c>
      <c r="K81" s="56" t="inlineStr">
        <is>
          <t>Người lao động làm việc tại doanh nghiệp</t>
        </is>
      </c>
      <c r="L81" s="44" t="inlineStr">
        <is>
          <t>Người lao động đang làm việc tại các doanh nghiệp trong và ngoài khu công nghiệp</t>
        </is>
      </c>
      <c r="M81" s="44" t="inlineStr">
        <is>
          <t>Công ty TNHH Mega Technology &amp; Solution Việt Nam</t>
        </is>
      </c>
      <c r="N81" s="44" t="inlineStr">
        <is>
          <t>Chưa có nhà ở thuộc sở hữu của hộ gia đình</t>
        </is>
      </c>
      <c r="O81" s="44" t="inlineStr">
        <is>
          <t>Bắc Ninh</t>
        </is>
      </c>
      <c r="P81" s="44" t="n"/>
      <c r="Q81" s="44" t="inlineStr">
        <is>
          <t>Yên Phong</t>
        </is>
      </c>
      <c r="R81" s="44" t="inlineStr">
        <is>
          <t>Có thu nhập bình quân hàng tháng thực nhận không quá 25 triệu đồng</t>
        </is>
      </c>
      <c r="S81" s="44" t="inlineStr">
        <is>
          <t>Chủ hộ</t>
        </is>
      </c>
      <c r="T81" s="44" t="inlineStr">
        <is>
          <t>CTS-O-0906</t>
        </is>
      </c>
      <c r="U81" s="47" t="inlineStr">
        <is>
          <t>69.00</t>
        </is>
      </c>
    </row>
    <row r="82" ht="51" customHeight="1">
      <c r="A82" s="44">
        <f>IF(T82="","",MAX($A$3:A81)+1)</f>
        <v/>
      </c>
      <c r="B82" s="44" t="n"/>
      <c r="C82" s="44" t="n"/>
      <c r="D82" s="44" t="inlineStr">
        <is>
          <t>Mai Ngọc Mai</t>
        </is>
      </c>
      <c r="E82" s="48" t="inlineStr">
        <is>
          <t>0908371550</t>
        </is>
      </c>
      <c r="F82" s="68" t="n">
        <v>10</v>
      </c>
      <c r="G82" s="68" t="n">
        <v>4</v>
      </c>
      <c r="H82" s="44" t="n">
        <v>1996</v>
      </c>
      <c r="I82" s="69" t="inlineStr">
        <is>
          <t>991835667</t>
        </is>
      </c>
      <c r="J82" s="70" t="inlineStr">
        <is>
          <t>999175529666</t>
        </is>
      </c>
      <c r="K82" s="56" t="inlineStr">
        <is>
          <t>Cán bộ, công chức, viên chức</t>
        </is>
      </c>
      <c r="L82" s="44" t="inlineStr">
        <is>
          <t>Cán bộ, công chức, viên chức theo quy định của pháp luật về cán bộ, công chức, viên chức</t>
        </is>
      </c>
      <c r="M82" s="44" t="inlineStr">
        <is>
          <t>Trường THCS Yên Phong</t>
        </is>
      </c>
      <c r="N82" s="44" t="inlineStr">
        <is>
          <t>Chưa có nhà ở thuộc sở hữu của hộ gia đình</t>
        </is>
      </c>
      <c r="O82" s="44" t="inlineStr">
        <is>
          <t>Bắc Ninh</t>
        </is>
      </c>
      <c r="P82" s="44" t="n"/>
      <c r="Q82" s="44" t="inlineStr">
        <is>
          <t>Yên Phong</t>
        </is>
      </c>
      <c r="R82" s="44" t="inlineStr">
        <is>
          <t>Có thu nhập bình quân hàng tháng thực nhận không quá 50 triệu đồng</t>
        </is>
      </c>
      <c r="S82" s="44" t="inlineStr">
        <is>
          <t>Chủ hộ</t>
        </is>
      </c>
      <c r="T82" s="44" t="inlineStr">
        <is>
          <t>CTS-O-0907</t>
        </is>
      </c>
      <c r="U82" s="47" t="inlineStr">
        <is>
          <t>69.90</t>
        </is>
      </c>
    </row>
    <row r="83" ht="51" customHeight="1">
      <c r="A83" s="65" t="n"/>
      <c r="B83" s="44" t="n"/>
      <c r="C83" s="44" t="n"/>
      <c r="D83" s="44" t="inlineStr">
        <is>
          <t>Dương Hồng Mai</t>
        </is>
      </c>
      <c r="E83" s="65" t="n"/>
      <c r="F83" s="68" t="n">
        <v>2</v>
      </c>
      <c r="G83" s="68" t="n">
        <v>8</v>
      </c>
      <c r="H83" s="44" t="n">
        <v>1995</v>
      </c>
      <c r="I83" s="69" t="inlineStr">
        <is>
          <t>993870006</t>
        </is>
      </c>
      <c r="J83" s="70" t="inlineStr">
        <is>
          <t>999124211176</t>
        </is>
      </c>
      <c r="K83" s="56" t="inlineStr">
        <is>
          <t>Người lao động làm việc tại doanh nghiệp</t>
        </is>
      </c>
      <c r="L83" s="44" t="inlineStr">
        <is>
          <t>Người lao động đang làm việc tại các doanh nghiệp trong và ngoài khu công nghiệp</t>
        </is>
      </c>
      <c r="M83" s="44" t="inlineStr">
        <is>
          <t>Ban Quản lý dự án xây dựng Văn Môn</t>
        </is>
      </c>
      <c r="N83" s="65" t="n"/>
      <c r="O83" s="65" t="n"/>
      <c r="P83" s="44" t="n"/>
      <c r="Q83" s="65" t="n"/>
      <c r="R83" s="65" t="n"/>
      <c r="S83" s="44" t="inlineStr">
        <is>
          <t>Vợ (Chồng)</t>
        </is>
      </c>
      <c r="T83" s="65" t="n"/>
      <c r="U83" s="65" t="n"/>
    </row>
    <row r="84" ht="51" customHeight="1">
      <c r="A84" s="44">
        <f>IF(T84="","",MAX($A$3:A83)+1)</f>
        <v/>
      </c>
      <c r="B84" s="44" t="n"/>
      <c r="C84" s="44" t="n"/>
      <c r="D84" s="44" t="inlineStr">
        <is>
          <t>Trần Văn Dũng</t>
        </is>
      </c>
      <c r="E84" s="48" t="inlineStr">
        <is>
          <t>0960224070</t>
        </is>
      </c>
      <c r="F84" s="68" t="n">
        <v>22</v>
      </c>
      <c r="G84" s="68" t="n">
        <v>4</v>
      </c>
      <c r="H84" s="44" t="n">
        <v>1998</v>
      </c>
      <c r="I84" s="69" t="inlineStr">
        <is>
          <t>990308150</t>
        </is>
      </c>
      <c r="J84" s="70" t="inlineStr">
        <is>
          <t>999080610821</t>
        </is>
      </c>
      <c r="K84" s="56" t="inlineStr">
        <is>
          <t>Người lao động làm việc tại doanh nghiệp</t>
        </is>
      </c>
      <c r="L84" s="44" t="inlineStr">
        <is>
          <t>Người lao động đang làm việc tại các doanh nghiệp trong và ngoài khu công nghiệp</t>
        </is>
      </c>
      <c r="M84" s="44" t="inlineStr">
        <is>
          <t>Công ty TNHH Amphenol Highspeed IO Technology Việt Nam</t>
        </is>
      </c>
      <c r="N84" s="44" t="inlineStr">
        <is>
          <t>Chưa có nhà ở thuộc sở hữu của hộ gia đình</t>
        </is>
      </c>
      <c r="O84" s="44" t="inlineStr">
        <is>
          <t>Bắc Ninh</t>
        </is>
      </c>
      <c r="P84" s="44" t="n"/>
      <c r="Q84" s="44" t="inlineStr">
        <is>
          <t>Yên Phong</t>
        </is>
      </c>
      <c r="R84" s="44" t="inlineStr">
        <is>
          <t>Có thu nhập bình quân hàng tháng thực nhận không quá 50 triệu đồng</t>
        </is>
      </c>
      <c r="S84" s="44" t="inlineStr">
        <is>
          <t>Chủ hộ</t>
        </is>
      </c>
      <c r="T84" s="44" t="inlineStr">
        <is>
          <t>CTS-O-0908</t>
        </is>
      </c>
      <c r="U84" s="47" t="inlineStr">
        <is>
          <t>69.90</t>
        </is>
      </c>
    </row>
    <row r="85" ht="51" customHeight="1">
      <c r="A85" s="65" t="n"/>
      <c r="B85" s="44" t="n"/>
      <c r="C85" s="44" t="n"/>
      <c r="D85" s="44" t="inlineStr">
        <is>
          <t>Trần Hồng Mai</t>
        </is>
      </c>
      <c r="E85" s="65" t="n"/>
      <c r="F85" s="68" t="n">
        <v>14</v>
      </c>
      <c r="G85" s="68" t="n">
        <v>1</v>
      </c>
      <c r="H85" s="44" t="n">
        <v>2000</v>
      </c>
      <c r="I85" s="69" t="n"/>
      <c r="J85" s="70" t="inlineStr">
        <is>
          <t>999037870152</t>
        </is>
      </c>
      <c r="K85" s="56" t="inlineStr">
        <is>
          <t>Người lao động làm việc tại doanh nghiệp</t>
        </is>
      </c>
      <c r="L85" s="44" t="inlineStr">
        <is>
          <t>Người lao động đang làm việc tại các doanh nghiệp trong và ngoài khu công nghiệp</t>
        </is>
      </c>
      <c r="M85" s="44" t="inlineStr">
        <is>
          <t>Công ty TNHH Samsung Display Việt Nam</t>
        </is>
      </c>
      <c r="N85" s="65" t="n"/>
      <c r="O85" s="65" t="n"/>
      <c r="P85" s="44" t="n"/>
      <c r="Q85" s="65" t="n"/>
      <c r="R85" s="65" t="n"/>
      <c r="S85" s="44" t="inlineStr">
        <is>
          <t>Vợ (Chồng)</t>
        </is>
      </c>
      <c r="T85" s="65" t="n"/>
      <c r="U85" s="65" t="n"/>
    </row>
    <row r="86" ht="51" customHeight="1">
      <c r="A86" s="44">
        <f>IF(T86="","",MAX($A$3:A84)+1)</f>
        <v/>
      </c>
      <c r="B86" s="44" t="n"/>
      <c r="C86" s="44" t="n"/>
      <c r="D86" s="44" t="inlineStr">
        <is>
          <t>Phan Tiến Sơn</t>
        </is>
      </c>
      <c r="E86" s="48" t="inlineStr">
        <is>
          <t>0964417841</t>
        </is>
      </c>
      <c r="F86" s="68" t="n">
        <v>4</v>
      </c>
      <c r="G86" s="68" t="n">
        <v>11</v>
      </c>
      <c r="H86" s="44" t="n">
        <v>1995</v>
      </c>
      <c r="I86" s="74" t="inlineStr">
        <is>
          <t>990189036</t>
        </is>
      </c>
      <c r="J86" s="70" t="inlineStr">
        <is>
          <t>999649163684</t>
        </is>
      </c>
      <c r="K86" s="56" t="inlineStr">
        <is>
          <t>Người lao động làm việc tại doanh nghiệp</t>
        </is>
      </c>
      <c r="L86" s="44" t="inlineStr">
        <is>
          <t>Người lao động đang làm việc tại các doanh nghiệp trong và ngoài khu công nghiệp</t>
        </is>
      </c>
      <c r="M86" s="44" t="inlineStr">
        <is>
          <t>Trường Cao đẳng Nghề số 1</t>
        </is>
      </c>
      <c r="N86" s="44" t="inlineStr">
        <is>
          <t>Chưa có nhà ở thuộc sở hữu của hộ gia đình</t>
        </is>
      </c>
      <c r="O86" s="44" t="inlineStr">
        <is>
          <t>Bắc Ninh</t>
        </is>
      </c>
      <c r="P86" s="44" t="n"/>
      <c r="Q86" s="44" t="inlineStr">
        <is>
          <t>Tam Giang</t>
        </is>
      </c>
      <c r="R86" s="44" t="inlineStr">
        <is>
          <t>Có thu nhập bình quân hàng tháng thực nhận không quá 25 triệu đồng</t>
        </is>
      </c>
      <c r="S86" s="44" t="inlineStr">
        <is>
          <t>Chủ hộ</t>
        </is>
      </c>
      <c r="T86" s="44" t="inlineStr">
        <is>
          <t>CTS-O-0909</t>
        </is>
      </c>
      <c r="U86" s="47" t="inlineStr">
        <is>
          <t>69.90</t>
        </is>
      </c>
    </row>
    <row r="87" ht="51" customHeight="1">
      <c r="A87" s="44" t="n">
        <v>54</v>
      </c>
      <c r="B87" s="44" t="n"/>
      <c r="C87" s="44" t="n"/>
      <c r="D87" s="44" t="inlineStr">
        <is>
          <t>Đinh Công Khoa</t>
        </is>
      </c>
      <c r="E87" s="48" t="inlineStr">
        <is>
          <t>0988199611</t>
        </is>
      </c>
      <c r="F87" s="68" t="n">
        <v>25</v>
      </c>
      <c r="G87" s="68" t="n">
        <v>10</v>
      </c>
      <c r="H87" s="44" t="n">
        <v>1993</v>
      </c>
      <c r="I87" s="74" t="inlineStr">
        <is>
          <t>997944611</t>
        </is>
      </c>
      <c r="J87" s="70" t="inlineStr">
        <is>
          <t>999602953543</t>
        </is>
      </c>
      <c r="K87" s="56" t="inlineStr">
        <is>
          <t>Người lao động làm việc tại doanh nghiệp</t>
        </is>
      </c>
      <c r="L87" s="44" t="inlineStr">
        <is>
          <t>Người lao động đang làm việc tại các doanh nghiệp trong và ngoài khu công nghiệp</t>
        </is>
      </c>
      <c r="M87" s="44" t="inlineStr">
        <is>
          <t>Công ty Cổ phần Dịch vụ Thương mại Tổng hợp WinCommerce</t>
        </is>
      </c>
      <c r="N87" s="44" t="inlineStr">
        <is>
          <t>Chưa có nhà ở thuộc sở hữu của hộ gia đình</t>
        </is>
      </c>
      <c r="O87" s="44" t="inlineStr">
        <is>
          <t>Hà Nội</t>
        </is>
      </c>
      <c r="P87" s="44" t="n"/>
      <c r="Q87" s="44" t="inlineStr">
        <is>
          <t>Phúc Lợi</t>
        </is>
      </c>
      <c r="R87" s="44" t="inlineStr">
        <is>
          <t>Có thu nhập bình quân hàng tháng thực nhận không quá 25 triệu đồng</t>
        </is>
      </c>
      <c r="S87" s="44" t="inlineStr">
        <is>
          <t>Chủ hộ</t>
        </is>
      </c>
      <c r="T87" s="44" t="inlineStr">
        <is>
          <t>CTS-O-0910</t>
        </is>
      </c>
      <c r="U87" s="47" t="inlineStr">
        <is>
          <t>69.90</t>
        </is>
      </c>
    </row>
    <row r="88" ht="51" customHeight="1">
      <c r="A88" s="50">
        <f>IF(T88="","",MAX($A$3:A87)+1)</f>
        <v/>
      </c>
      <c r="B88" s="50" t="n"/>
      <c r="C88" s="50" t="n"/>
      <c r="D88" s="50" t="inlineStr">
        <is>
          <t>Lý Tiến Phong</t>
        </is>
      </c>
      <c r="E88" s="51" t="inlineStr">
        <is>
          <t>0935418526</t>
        </is>
      </c>
      <c r="F88" s="50" t="n">
        <v>8</v>
      </c>
      <c r="G88" s="50" t="n">
        <v>12</v>
      </c>
      <c r="H88" s="50" t="n">
        <v>2001</v>
      </c>
      <c r="I88" s="50" t="inlineStr">
        <is>
          <t>998453404</t>
        </is>
      </c>
      <c r="J88" s="51" t="inlineStr">
        <is>
          <t>999253006716</t>
        </is>
      </c>
      <c r="K88" s="56" t="inlineStr">
        <is>
          <t>Người lao động làm việc tại doanh nghiệp</t>
        </is>
      </c>
      <c r="L88" s="44" t="inlineStr">
        <is>
          <t>Người lao động đang làm việc tại các doanh nghiệp trong và ngoài khu công nghiệp</t>
        </is>
      </c>
      <c r="M88" s="44" t="inlineStr">
        <is>
          <t>Công ty Trách nhiệm hữu hạn Fushan Technology (Việt Nam)</t>
        </is>
      </c>
      <c r="N88" s="44" t="inlineStr">
        <is>
          <t>Chưa có nhà ở thuộc sở hữu của hộ gia đình</t>
        </is>
      </c>
      <c r="O88" s="44" t="inlineStr">
        <is>
          <t>Bắc Ninh</t>
        </is>
      </c>
      <c r="P88" s="50" t="n"/>
      <c r="Q88" s="44" t="inlineStr">
        <is>
          <t>Tiên Du</t>
        </is>
      </c>
      <c r="R88" s="44" t="inlineStr">
        <is>
          <t>Có thu nhập bình quân hàng tháng thực nhận không quá 25 triệu đồng</t>
        </is>
      </c>
      <c r="S88" s="44" t="inlineStr">
        <is>
          <t>Chủ hộ</t>
        </is>
      </c>
      <c r="T88" s="50" t="inlineStr">
        <is>
          <t>CTS-P-0306</t>
        </is>
      </c>
      <c r="U88" s="50" t="inlineStr">
        <is>
          <t>69.00</t>
        </is>
      </c>
    </row>
    <row r="89" ht="51" customHeight="1">
      <c r="A89" s="44">
        <f>IF(T89="","",MAX($A$3:A88)+1)</f>
        <v/>
      </c>
      <c r="B89" s="44" t="n"/>
      <c r="C89" s="44" t="n"/>
      <c r="D89" s="44" t="inlineStr">
        <is>
          <t>Hoàng Minh Oanh</t>
        </is>
      </c>
      <c r="E89" s="48" t="inlineStr">
        <is>
          <t>0946286847</t>
        </is>
      </c>
      <c r="F89" s="68" t="n">
        <v>15</v>
      </c>
      <c r="G89" s="68" t="n">
        <v>5</v>
      </c>
      <c r="H89" s="44" t="n">
        <v>1991</v>
      </c>
      <c r="I89" s="75" t="inlineStr">
        <is>
          <t>997901208</t>
        </is>
      </c>
      <c r="J89" s="70" t="inlineStr">
        <is>
          <t>999552682254</t>
        </is>
      </c>
      <c r="K89" s="56" t="inlineStr">
        <is>
          <t>Lao động tự do</t>
        </is>
      </c>
      <c r="L89" s="44" t="inlineStr">
        <is>
          <t>Người thu nhập thấp tại khu vực đô thị</t>
        </is>
      </c>
      <c r="M89" s="44" t="inlineStr">
        <is>
          <t>Công an Phường Đông Kinh</t>
        </is>
      </c>
      <c r="N89" s="44" t="inlineStr">
        <is>
          <t>Chưa có nhà ở thuộc sở hữu của hộ gia đình</t>
        </is>
      </c>
      <c r="O89" s="44" t="inlineStr">
        <is>
          <t>Lạng Sơn</t>
        </is>
      </c>
      <c r="P89" s="44" t="n"/>
      <c r="Q89" s="44" t="inlineStr">
        <is>
          <t>Đông Kinh</t>
        </is>
      </c>
      <c r="R89" s="44" t="inlineStr">
        <is>
          <t>Có thu nhập bình quân hàng tháng thực nhận không quá 50 triệu đồng</t>
        </is>
      </c>
      <c r="S89" s="44" t="inlineStr">
        <is>
          <t>Chủ hộ</t>
        </is>
      </c>
      <c r="T89" s="44" t="inlineStr">
        <is>
          <t>CTS-P-0402</t>
        </is>
      </c>
      <c r="U89" s="47" t="inlineStr">
        <is>
          <t>69.40</t>
        </is>
      </c>
    </row>
    <row r="90" ht="51" customHeight="1">
      <c r="A90" s="65" t="n"/>
      <c r="B90" s="44" t="n"/>
      <c r="C90" s="44" t="n"/>
      <c r="D90" s="44" t="inlineStr">
        <is>
          <t>Ngô Ngọc Giang</t>
        </is>
      </c>
      <c r="E90" s="65" t="n"/>
      <c r="F90" s="68" t="n">
        <v>11</v>
      </c>
      <c r="G90" s="68" t="n">
        <v>10</v>
      </c>
      <c r="H90" s="44" t="n">
        <v>1989</v>
      </c>
      <c r="I90" s="75" t="inlineStr">
        <is>
          <t>996704034</t>
        </is>
      </c>
      <c r="J90" s="70" t="inlineStr">
        <is>
          <t>999841848667</t>
        </is>
      </c>
      <c r="K90" s="56" t="inlineStr">
        <is>
          <t>Lao động tự do</t>
        </is>
      </c>
      <c r="L90" s="44" t="inlineStr">
        <is>
          <t>Người thu nhập thấp tại khu vực đô thị</t>
        </is>
      </c>
      <c r="M90" s="44" t="inlineStr">
        <is>
          <t>Công an Phường Đông Kinh</t>
        </is>
      </c>
      <c r="N90" s="65" t="n"/>
      <c r="O90" s="65" t="n"/>
      <c r="P90" s="44" t="n"/>
      <c r="Q90" s="65" t="n"/>
      <c r="R90" s="65" t="n"/>
      <c r="S90" s="44" t="inlineStr">
        <is>
          <t>Vợ (Chồng)</t>
        </is>
      </c>
      <c r="T90" s="65" t="n"/>
      <c r="U90" s="65" t="n"/>
    </row>
    <row r="91" ht="51" customHeight="1">
      <c r="A91" s="44">
        <f>IF(T91="","",MAX($A$3:A90)+1)</f>
        <v/>
      </c>
      <c r="B91" s="44" t="n"/>
      <c r="C91" s="44" t="n"/>
      <c r="D91" s="44" t="inlineStr">
        <is>
          <t>Ngô Hồng Yến</t>
        </is>
      </c>
      <c r="E91" s="48" t="inlineStr">
        <is>
          <t>0982860890</t>
        </is>
      </c>
      <c r="F91" s="68" t="n">
        <v>10</v>
      </c>
      <c r="G91" s="68" t="n">
        <v>5</v>
      </c>
      <c r="H91" s="44" t="n">
        <v>2000</v>
      </c>
      <c r="I91" s="69" t="n"/>
      <c r="J91" s="70" t="inlineStr">
        <is>
          <t>999356750147</t>
        </is>
      </c>
      <c r="K91" s="56" t="inlineStr">
        <is>
          <t>Người lao động làm việc tại doanh nghiệp</t>
        </is>
      </c>
      <c r="L91" s="44" t="inlineStr">
        <is>
          <t>Người lao động đang làm việc tại các doanh nghiệp trong và ngoài khu công nghiệp</t>
        </is>
      </c>
      <c r="M91" s="44" t="inlineStr">
        <is>
          <t>Công ty TNHH Công nghệ Thông minh Goertek Vina</t>
        </is>
      </c>
      <c r="N91" s="44" t="inlineStr">
        <is>
          <t>Chưa có nhà ở thuộc sở hữu của hộ gia đình</t>
        </is>
      </c>
      <c r="O91" s="44" t="inlineStr">
        <is>
          <t>Ninh Bình</t>
        </is>
      </c>
      <c r="P91" s="44" t="n"/>
      <c r="Q91" s="44" t="inlineStr">
        <is>
          <t>Hải Thịnh</t>
        </is>
      </c>
      <c r="R91" s="44" t="inlineStr">
        <is>
          <t>Có thu nhập bình quân hàng tháng thực nhận không quá 50 triệu đồng</t>
        </is>
      </c>
      <c r="S91" s="44" t="inlineStr">
        <is>
          <t>Chủ hộ</t>
        </is>
      </c>
      <c r="T91" s="44" t="inlineStr">
        <is>
          <t>CTS-P-0403</t>
        </is>
      </c>
      <c r="U91" s="47" t="inlineStr">
        <is>
          <t>51.00</t>
        </is>
      </c>
    </row>
    <row r="92" ht="51" customHeight="1">
      <c r="A92" s="65" t="n"/>
      <c r="B92" s="49" t="n"/>
      <c r="C92" s="49" t="n"/>
      <c r="D92" s="44" t="inlineStr">
        <is>
          <t>Trịnh Hồng Ngân</t>
        </is>
      </c>
      <c r="E92" s="65" t="n"/>
      <c r="F92" s="68" t="n">
        <v>11</v>
      </c>
      <c r="G92" s="68" t="n">
        <v>7</v>
      </c>
      <c r="H92" s="44" t="n">
        <v>2000</v>
      </c>
      <c r="I92" s="69" t="n"/>
      <c r="J92" s="70" t="inlineStr">
        <is>
          <t>999722772759</t>
        </is>
      </c>
      <c r="K92" s="56" t="inlineStr">
        <is>
          <t>Lao động tự do</t>
        </is>
      </c>
      <c r="L92" s="44" t="inlineStr">
        <is>
          <t>Người thu nhập thấp tại khu vực đô thị</t>
        </is>
      </c>
      <c r="M92" s="44" t="inlineStr">
        <is>
          <t>Công an Xã Nghĩa Hưng</t>
        </is>
      </c>
      <c r="N92" s="65" t="n"/>
      <c r="O92" s="65" t="n"/>
      <c r="P92" s="44" t="n"/>
      <c r="Q92" s="65" t="n"/>
      <c r="R92" s="65" t="n"/>
      <c r="S92" s="44" t="inlineStr">
        <is>
          <t>Vợ (Chồng)</t>
        </is>
      </c>
      <c r="T92" s="65" t="n"/>
      <c r="U92" s="65" t="n"/>
    </row>
    <row r="93" ht="51" customHeight="1">
      <c r="A93" s="50" t="n">
        <v>58</v>
      </c>
      <c r="B93" s="50" t="n"/>
      <c r="C93" s="50" t="n"/>
      <c r="D93" s="50" t="inlineStr">
        <is>
          <t>Nguyễn Tiến Dũng</t>
        </is>
      </c>
      <c r="E93" s="51" t="inlineStr">
        <is>
          <t>0929931911</t>
        </is>
      </c>
      <c r="F93" s="50" t="n">
        <v>9</v>
      </c>
      <c r="G93" s="50" t="n">
        <v>9</v>
      </c>
      <c r="H93" s="50" t="n">
        <v>1995</v>
      </c>
      <c r="I93" s="50" t="inlineStr">
        <is>
          <t>994815172</t>
        </is>
      </c>
      <c r="J93" s="51" t="inlineStr">
        <is>
          <t>999251760429</t>
        </is>
      </c>
      <c r="K93" s="56" t="inlineStr">
        <is>
          <t>Người lao động làm việc tại doanh nghiệp</t>
        </is>
      </c>
      <c r="L93" s="44" t="inlineStr">
        <is>
          <t>Người lao động đang làm việc tại các doanh nghiệp trong và ngoài khu công nghiệp</t>
        </is>
      </c>
      <c r="M93" s="44" t="inlineStr">
        <is>
          <t>Công ty TNHH Samsung Display Việt Nam</t>
        </is>
      </c>
      <c r="N93" s="44" t="inlineStr">
        <is>
          <t>Chưa có nhà ở thuộc sở hữu của hộ gia đình</t>
        </is>
      </c>
      <c r="O93" s="44" t="inlineStr">
        <is>
          <t>Bắc Ninh</t>
        </is>
      </c>
      <c r="P93" s="50" t="n"/>
      <c r="Q93" s="56" t="inlineStr">
        <is>
          <t>Yên Phong</t>
        </is>
      </c>
      <c r="R93" s="44" t="inlineStr">
        <is>
          <t>Có thu nhập bình quân hàng tháng thực nhận không quá 50 triệu đồng</t>
        </is>
      </c>
      <c r="S93" s="44" t="inlineStr">
        <is>
          <t>Chủ hộ</t>
        </is>
      </c>
      <c r="T93" s="50" t="inlineStr">
        <is>
          <t>CTS-P-0409</t>
        </is>
      </c>
      <c r="U93" s="50" t="inlineStr">
        <is>
          <t>69.90</t>
        </is>
      </c>
    </row>
    <row r="94" ht="51" customHeight="1">
      <c r="A94" s="65" t="n"/>
      <c r="B94" s="50" t="n"/>
      <c r="C94" s="50" t="n"/>
      <c r="D94" s="50" t="inlineStr">
        <is>
          <t>Trịnh Khánh Hạnh</t>
        </is>
      </c>
      <c r="E94" s="65" t="n"/>
      <c r="F94" s="50" t="n">
        <v>6</v>
      </c>
      <c r="G94" s="50" t="n">
        <v>10</v>
      </c>
      <c r="H94" s="50" t="n">
        <v>1997</v>
      </c>
      <c r="I94" s="51" t="inlineStr">
        <is>
          <t>993994180</t>
        </is>
      </c>
      <c r="J94" s="51" t="inlineStr">
        <is>
          <t>999177883146</t>
        </is>
      </c>
      <c r="K94" s="56" t="inlineStr">
        <is>
          <t>Lao động tự do</t>
        </is>
      </c>
      <c r="L94" s="44" t="inlineStr">
        <is>
          <t>Người thu nhập thấp tại khu vực đô thị</t>
        </is>
      </c>
      <c r="M94" s="50" t="inlineStr">
        <is>
          <t>Công an xã Minh Thái</t>
        </is>
      </c>
      <c r="N94" s="65" t="n"/>
      <c r="O94" s="65" t="n"/>
      <c r="P94" s="50" t="n"/>
      <c r="Q94" s="65" t="n"/>
      <c r="R94" s="65" t="n"/>
      <c r="S94" s="44" t="inlineStr">
        <is>
          <t>Vợ (Chồng)</t>
        </is>
      </c>
      <c r="T94" s="65" t="n"/>
      <c r="U94" s="65" t="n"/>
    </row>
    <row r="95" ht="51" customHeight="1">
      <c r="A95" s="44" t="n">
        <v>59</v>
      </c>
      <c r="B95" s="44" t="n"/>
      <c r="C95" s="44" t="n"/>
      <c r="D95" s="44" t="inlineStr">
        <is>
          <t>Mai Thị Mai</t>
        </is>
      </c>
      <c r="E95" s="48" t="inlineStr">
        <is>
          <t>0900327049</t>
        </is>
      </c>
      <c r="F95" s="68" t="n">
        <v>6</v>
      </c>
      <c r="G95" s="68" t="n">
        <v>9</v>
      </c>
      <c r="H95" s="44" t="n">
        <v>1999</v>
      </c>
      <c r="I95" s="69" t="inlineStr">
        <is>
          <t>999594938</t>
        </is>
      </c>
      <c r="J95" s="70" t="inlineStr">
        <is>
          <t>999911843089</t>
        </is>
      </c>
      <c r="K95" s="56" t="inlineStr">
        <is>
          <t>Người lao động làm việc tại doanh nghiệp</t>
        </is>
      </c>
      <c r="L95" s="44" t="inlineStr">
        <is>
          <t>Người lao động đang làm việc tại các doanh nghiệp trong và ngoài khu công nghiệp</t>
        </is>
      </c>
      <c r="M95" s="44" t="inlineStr">
        <is>
          <t>Công ty TNHH Welstory Việt Nam</t>
        </is>
      </c>
      <c r="N95" s="44" t="inlineStr">
        <is>
          <t>Chưa có nhà ở thuộc sở hữu của hộ gia đình</t>
        </is>
      </c>
      <c r="O95" s="44" t="inlineStr">
        <is>
          <t>Bắc Ninh</t>
        </is>
      </c>
      <c r="P95" s="44" t="n"/>
      <c r="Q95" s="44" t="inlineStr">
        <is>
          <t>Yên Trung</t>
        </is>
      </c>
      <c r="R95" s="44" t="inlineStr">
        <is>
          <t>Có thu nhập bình quân hàng tháng thực nhận không quá 25 triệu đồng</t>
        </is>
      </c>
      <c r="S95" s="44" t="inlineStr">
        <is>
          <t>Chủ hộ</t>
        </is>
      </c>
      <c r="T95" s="44" t="inlineStr">
        <is>
          <t>CTS-P-0711</t>
        </is>
      </c>
      <c r="U95" s="47" t="inlineStr">
        <is>
          <t>69.00</t>
        </is>
      </c>
    </row>
    <row r="96" ht="51" customHeight="1">
      <c r="A96" s="44" t="n">
        <v>60</v>
      </c>
      <c r="B96" s="44" t="n"/>
      <c r="C96" s="44" t="n"/>
      <c r="D96" s="44" t="inlineStr">
        <is>
          <t>Đinh Khánh Hà</t>
        </is>
      </c>
      <c r="E96" s="48" t="inlineStr">
        <is>
          <t>0994303413</t>
        </is>
      </c>
      <c r="F96" s="68" t="n">
        <v>9</v>
      </c>
      <c r="G96" s="68" t="n">
        <v>12</v>
      </c>
      <c r="H96" s="44" t="n">
        <v>1997</v>
      </c>
      <c r="I96" s="69" t="n"/>
      <c r="J96" s="70" t="inlineStr">
        <is>
          <t>999371062908</t>
        </is>
      </c>
      <c r="K96" s="56" t="inlineStr">
        <is>
          <t>Người lao động làm việc tại doanh nghiệp</t>
        </is>
      </c>
      <c r="L96" s="44" t="inlineStr">
        <is>
          <t>Người lao động đang làm việc tại các doanh nghiệp trong và ngoài khu công nghiệp</t>
        </is>
      </c>
      <c r="M96" s="44" t="inlineStr">
        <is>
          <t>Công ty TNHH Công nghệ Cowain Việt Nam</t>
        </is>
      </c>
      <c r="N96" s="44" t="inlineStr">
        <is>
          <t>Chưa có nhà ở thuộc sở hữu của hộ gia đình</t>
        </is>
      </c>
      <c r="O96" s="44" t="inlineStr">
        <is>
          <t>Bắc Ninh</t>
        </is>
      </c>
      <c r="P96" s="44" t="n"/>
      <c r="Q96" s="44" t="inlineStr">
        <is>
          <t>Tam Đa</t>
        </is>
      </c>
      <c r="R96" s="44" t="inlineStr">
        <is>
          <t>Có thu nhập bình quân hàng tháng thực nhận không quá 50 triệu đồng</t>
        </is>
      </c>
      <c r="S96" s="44" t="inlineStr">
        <is>
          <t>Chủ hộ</t>
        </is>
      </c>
      <c r="T96" s="44" t="inlineStr">
        <is>
          <t>CTS-P-0805</t>
        </is>
      </c>
      <c r="U96" s="47" t="inlineStr">
        <is>
          <t>68.50</t>
        </is>
      </c>
    </row>
    <row r="97" ht="51" customHeight="1">
      <c r="A97" s="65" t="n"/>
      <c r="B97" s="49" t="n"/>
      <c r="C97" s="49" t="n"/>
      <c r="D97" s="44" t="inlineStr">
        <is>
          <t>Đặng Khánh Linh</t>
        </is>
      </c>
      <c r="E97" s="65" t="n"/>
      <c r="F97" s="68" t="n">
        <v>25</v>
      </c>
      <c r="G97" s="68" t="n">
        <v>11</v>
      </c>
      <c r="H97" s="44" t="n">
        <v>2000</v>
      </c>
      <c r="I97" s="69" t="n"/>
      <c r="J97" s="70" t="inlineStr">
        <is>
          <t>999624446396</t>
        </is>
      </c>
      <c r="K97" s="56" t="inlineStr">
        <is>
          <t>Lao động tự do</t>
        </is>
      </c>
      <c r="L97" s="44" t="inlineStr">
        <is>
          <t>Người thu nhập thấp tại khu vực đô thị</t>
        </is>
      </c>
      <c r="M97" s="44" t="inlineStr">
        <is>
          <t>Công an Xã Tam Đa</t>
        </is>
      </c>
      <c r="N97" s="65" t="n"/>
      <c r="O97" s="65" t="n"/>
      <c r="P97" s="44" t="n"/>
      <c r="Q97" s="65" t="n"/>
      <c r="R97" s="65" t="n"/>
      <c r="S97" s="44" t="inlineStr">
        <is>
          <t>Vợ (Chồng)</t>
        </is>
      </c>
      <c r="T97" s="65" t="n"/>
      <c r="U97" s="65" t="n"/>
    </row>
    <row r="98" ht="51" customHeight="1">
      <c r="A98" s="44">
        <f>IF(T98="","",MAX($A$3:A97)+1)</f>
        <v/>
      </c>
      <c r="B98" s="44" t="n"/>
      <c r="C98" s="44" t="n"/>
      <c r="D98" s="44" t="inlineStr">
        <is>
          <t>Nguyễn Tiến Nam</t>
        </is>
      </c>
      <c r="E98" s="48" t="inlineStr">
        <is>
          <t>0974629221</t>
        </is>
      </c>
      <c r="F98" s="68" t="n">
        <v>6</v>
      </c>
      <c r="G98" s="68" t="n">
        <v>5</v>
      </c>
      <c r="H98" s="44" t="n">
        <v>1994</v>
      </c>
      <c r="I98" s="69" t="inlineStr">
        <is>
          <t>994519004</t>
        </is>
      </c>
      <c r="J98" s="70" t="inlineStr">
        <is>
          <t>999321639061</t>
        </is>
      </c>
      <c r="K98" s="56" t="inlineStr">
        <is>
          <t>Người lao động làm việc tại doanh nghiệp</t>
        </is>
      </c>
      <c r="L98" s="44" t="inlineStr">
        <is>
          <t>Người lao động đang làm việc tại các doanh nghiệp trong và ngoài khu công nghiệp</t>
        </is>
      </c>
      <c r="M98" s="44" t="inlineStr">
        <is>
          <t>Công ty TNHH MTL Việt Nam</t>
        </is>
      </c>
      <c r="N98" s="44" t="inlineStr">
        <is>
          <t>Chưa có nhà ở thuộc sở hữu của hộ gia đình</t>
        </is>
      </c>
      <c r="O98" s="44" t="inlineStr">
        <is>
          <t>Bắc Ninh</t>
        </is>
      </c>
      <c r="P98" s="44" t="n"/>
      <c r="Q98" s="44" t="inlineStr">
        <is>
          <t>Tam Đa</t>
        </is>
      </c>
      <c r="R98" s="44" t="inlineStr">
        <is>
          <t>Có thu nhập bình quân hàng tháng thực nhận không quá 50 triệu đồng</t>
        </is>
      </c>
      <c r="S98" s="44" t="inlineStr">
        <is>
          <t>Chủ hộ</t>
        </is>
      </c>
      <c r="T98" s="44" t="inlineStr">
        <is>
          <t>CTS-P-0811</t>
        </is>
      </c>
      <c r="U98" s="47" t="inlineStr">
        <is>
          <t>69.00</t>
        </is>
      </c>
    </row>
    <row r="99" ht="51" customHeight="1">
      <c r="A99" s="65" t="n"/>
      <c r="B99" s="49" t="n"/>
      <c r="C99" s="49" t="n"/>
      <c r="D99" s="44" t="inlineStr">
        <is>
          <t>Trần Thu Giang</t>
        </is>
      </c>
      <c r="E99" s="65" t="n"/>
      <c r="F99" s="68" t="n">
        <v>1</v>
      </c>
      <c r="G99" s="68" t="n">
        <v>12</v>
      </c>
      <c r="H99" s="44" t="n">
        <v>1993</v>
      </c>
      <c r="I99" s="69" t="inlineStr">
        <is>
          <t>994106604</t>
        </is>
      </c>
      <c r="J99" s="70" t="inlineStr">
        <is>
          <t>999140028944</t>
        </is>
      </c>
      <c r="K99" s="56" t="inlineStr">
        <is>
          <t>Người lao động làm việc tại doanh nghiệp</t>
        </is>
      </c>
      <c r="L99" s="44" t="inlineStr">
        <is>
          <t>Người lao động đang làm việc tại các doanh nghiệp trong và ngoài khu công nghiệp</t>
        </is>
      </c>
      <c r="M99" s="44" t="inlineStr">
        <is>
          <t>Công ty TNHH Samsung Display Việt Nam</t>
        </is>
      </c>
      <c r="N99" s="65" t="n"/>
      <c r="O99" s="65" t="n"/>
      <c r="P99" s="44" t="n"/>
      <c r="Q99" s="65" t="n"/>
      <c r="R99" s="65" t="n"/>
      <c r="S99" s="44" t="inlineStr">
        <is>
          <t>Vợ (Chồng)</t>
        </is>
      </c>
      <c r="T99" s="65" t="n"/>
      <c r="U99" s="65" t="n"/>
    </row>
    <row r="100" ht="51" customHeight="1">
      <c r="A100" s="44" t="n">
        <v>62</v>
      </c>
      <c r="B100" s="44" t="n"/>
      <c r="C100" s="44" t="n"/>
      <c r="D100" s="44" t="inlineStr">
        <is>
          <t>Trần Khánh Yến</t>
        </is>
      </c>
      <c r="E100" s="48" t="inlineStr">
        <is>
          <t>0907851989</t>
        </is>
      </c>
      <c r="F100" s="68" t="n">
        <v>5</v>
      </c>
      <c r="G100" s="68" t="n">
        <v>1</v>
      </c>
      <c r="H100" s="44" t="n">
        <v>1996</v>
      </c>
      <c r="I100" s="69" t="inlineStr">
        <is>
          <t>994114731</t>
        </is>
      </c>
      <c r="J100" s="70" t="inlineStr">
        <is>
          <t>999651737775</t>
        </is>
      </c>
      <c r="K100" s="56" t="inlineStr">
        <is>
          <t>Người lao động làm việc tại doanh nghiệp</t>
        </is>
      </c>
      <c r="L100" s="44" t="inlineStr">
        <is>
          <t>Người lao động đang làm việc tại các doanh nghiệp trong và ngoài khu công nghiệp</t>
        </is>
      </c>
      <c r="M100" s="44" t="inlineStr">
        <is>
          <t>Công ty TNHH Thực phẩm Việt Nam - Korea</t>
        </is>
      </c>
      <c r="N100" s="44" t="inlineStr">
        <is>
          <t>Chưa có nhà ở thuộc sở hữu của hộ gia đình</t>
        </is>
      </c>
      <c r="O100" s="44" t="inlineStr">
        <is>
          <t>Bắc Ninh</t>
        </is>
      </c>
      <c r="P100" s="44" t="n"/>
      <c r="Q100" s="44" t="inlineStr">
        <is>
          <t>Trí Quả</t>
        </is>
      </c>
      <c r="R100" s="44" t="inlineStr">
        <is>
          <t>Có thu nhập bình quân hàng tháng thực nhận không quá 25 triệu đồng</t>
        </is>
      </c>
      <c r="S100" s="44" t="inlineStr">
        <is>
          <t>Chủ hộ</t>
        </is>
      </c>
      <c r="T100" s="44" t="inlineStr">
        <is>
          <t>CTS-P-0909</t>
        </is>
      </c>
      <c r="U100" s="47" t="inlineStr">
        <is>
          <t>69.90</t>
        </is>
      </c>
    </row>
    <row r="101" ht="51" customHeight="1">
      <c r="A101" s="44" t="n">
        <v>63</v>
      </c>
      <c r="B101" s="44" t="n"/>
      <c r="C101" s="44" t="n"/>
      <c r="D101" s="44" t="inlineStr">
        <is>
          <t>Đỗ Công Khoa</t>
        </is>
      </c>
      <c r="E101" s="48" t="inlineStr">
        <is>
          <t>0921160680</t>
        </is>
      </c>
      <c r="F101" s="68" t="n">
        <v>14</v>
      </c>
      <c r="G101" s="68" t="n">
        <v>2</v>
      </c>
      <c r="H101" s="44" t="n">
        <v>1997</v>
      </c>
      <c r="I101" s="74" t="inlineStr">
        <is>
          <t>998895350</t>
        </is>
      </c>
      <c r="J101" s="70" t="inlineStr">
        <is>
          <t>999490849287</t>
        </is>
      </c>
      <c r="K101" s="56" t="inlineStr">
        <is>
          <t>Người lao động làm việc tại doanh nghiệp</t>
        </is>
      </c>
      <c r="L101" s="44" t="inlineStr">
        <is>
          <t>Người lao động đang làm việc tại các doanh nghiệp trong và ngoài khu công nghiệp</t>
        </is>
      </c>
      <c r="M101" s="44" t="inlineStr">
        <is>
          <t>Công ty TNHH AK Specialty Vina</t>
        </is>
      </c>
      <c r="N101" s="44" t="inlineStr">
        <is>
          <t>Chưa có nhà ở thuộc sở hữu của hộ gia đình</t>
        </is>
      </c>
      <c r="O101" s="44" t="inlineStr">
        <is>
          <t>Bắc Ninh</t>
        </is>
      </c>
      <c r="P101" s="44" t="n"/>
      <c r="Q101" s="44" t="inlineStr">
        <is>
          <t>Tam Đa</t>
        </is>
      </c>
      <c r="R101" s="44" t="inlineStr">
        <is>
          <t>Có thu nhập bình quân hàng tháng thực nhận không quá 50 triệu đồng</t>
        </is>
      </c>
      <c r="S101" s="44" t="inlineStr">
        <is>
          <t>Chủ hộ</t>
        </is>
      </c>
      <c r="T101" s="44" t="inlineStr">
        <is>
          <t>CTS-Q-0211</t>
        </is>
      </c>
      <c r="U101" s="47" t="inlineStr">
        <is>
          <t>69.00</t>
        </is>
      </c>
    </row>
    <row r="102" ht="51" customHeight="1">
      <c r="A102" s="65" t="n"/>
      <c r="B102" s="44" t="n"/>
      <c r="C102" s="44" t="n"/>
      <c r="D102" s="44" t="inlineStr">
        <is>
          <t>Đặng Khánh Mai</t>
        </is>
      </c>
      <c r="E102" s="65" t="n"/>
      <c r="F102" s="68" t="n">
        <v>22</v>
      </c>
      <c r="G102" s="68" t="n">
        <v>1</v>
      </c>
      <c r="H102" s="44" t="n">
        <v>1992</v>
      </c>
      <c r="I102" s="69" t="inlineStr">
        <is>
          <t>991134100</t>
        </is>
      </c>
      <c r="J102" s="70" t="inlineStr">
        <is>
          <t>999778390963</t>
        </is>
      </c>
      <c r="K102" s="56" t="inlineStr">
        <is>
          <t>Người lao động làm việc tại doanh nghiệp</t>
        </is>
      </c>
      <c r="L102" s="44" t="inlineStr">
        <is>
          <t>Người lao động đang làm việc tại các doanh nghiệp trong và ngoài khu công nghiệp</t>
        </is>
      </c>
      <c r="M102" s="44" t="inlineStr">
        <is>
          <t>Công ty TNHH Samsung Display Việt Nam</t>
        </is>
      </c>
      <c r="N102" s="65" t="n"/>
      <c r="O102" s="65" t="n"/>
      <c r="P102" s="44" t="n"/>
      <c r="Q102" s="65" t="n"/>
      <c r="R102" s="65" t="n"/>
      <c r="S102" s="44" t="inlineStr">
        <is>
          <t>Vợ (Chồng)</t>
        </is>
      </c>
      <c r="T102" s="65" t="n"/>
      <c r="U102" s="65" t="n"/>
    </row>
    <row r="103" ht="51" customHeight="1">
      <c r="A103" s="44" t="n">
        <v>64</v>
      </c>
      <c r="B103" s="44" t="n"/>
      <c r="C103" s="44" t="n"/>
      <c r="D103" s="44" t="inlineStr">
        <is>
          <t>Phạm Khánh Chi</t>
        </is>
      </c>
      <c r="E103" s="48" t="inlineStr">
        <is>
          <t>0963964834</t>
        </is>
      </c>
      <c r="F103" s="68" t="n">
        <v>2</v>
      </c>
      <c r="G103" s="68" t="n">
        <v>3</v>
      </c>
      <c r="H103" s="44" t="n">
        <v>1991</v>
      </c>
      <c r="I103" s="74" t="inlineStr">
        <is>
          <t>996188489</t>
        </is>
      </c>
      <c r="J103" s="70" t="inlineStr">
        <is>
          <t>999047193019</t>
        </is>
      </c>
      <c r="K103" s="56" t="inlineStr">
        <is>
          <t>Người lao động làm việc tại doanh nghiệp</t>
        </is>
      </c>
      <c r="L103" s="44" t="inlineStr">
        <is>
          <t>Người lao động đang làm việc tại các doanh nghiệp trong và ngoài khu công nghiệp</t>
        </is>
      </c>
      <c r="M103" s="44" t="inlineStr">
        <is>
          <t>Công ty Trách nhiệm hữu hạn Mirae Industry</t>
        </is>
      </c>
      <c r="N103" s="44" t="inlineStr">
        <is>
          <t>Chưa có nhà ở thuộc sở hữu của hộ gia đình</t>
        </is>
      </c>
      <c r="O103" s="44" t="inlineStr">
        <is>
          <t>Bắc Ninh</t>
        </is>
      </c>
      <c r="P103" s="44" t="n"/>
      <c r="Q103" s="44" t="inlineStr">
        <is>
          <t>Võ Cường</t>
        </is>
      </c>
      <c r="R103" s="44" t="inlineStr">
        <is>
          <t>Có thu nhập bình quân hàng tháng thực nhận không quá 50 triệu đồng</t>
        </is>
      </c>
      <c r="S103" s="44" t="inlineStr">
        <is>
          <t>Chủ hộ</t>
        </is>
      </c>
      <c r="T103" s="44" t="inlineStr">
        <is>
          <t>CTS-Q-0309</t>
        </is>
      </c>
      <c r="U103" s="47" t="inlineStr">
        <is>
          <t>69.90</t>
        </is>
      </c>
    </row>
    <row r="104" ht="51" customHeight="1">
      <c r="A104" s="65" t="n"/>
      <c r="B104" s="44" t="n"/>
      <c r="C104" s="44" t="n"/>
      <c r="D104" s="44" t="inlineStr">
        <is>
          <t>Bùi Khánh Anh</t>
        </is>
      </c>
      <c r="E104" s="65" t="n"/>
      <c r="F104" s="68" t="n">
        <v>11</v>
      </c>
      <c r="G104" s="68" t="n">
        <v>9</v>
      </c>
      <c r="H104" s="44" t="n">
        <v>1992</v>
      </c>
      <c r="I104" s="69" t="inlineStr">
        <is>
          <t>997966754</t>
        </is>
      </c>
      <c r="J104" s="70" t="inlineStr">
        <is>
          <t>999321187849</t>
        </is>
      </c>
      <c r="K104" s="56" t="inlineStr">
        <is>
          <t>Người lao động làm việc tại doanh nghiệp</t>
        </is>
      </c>
      <c r="L104" s="44" t="inlineStr">
        <is>
          <t>Người lao động đang làm việc tại các doanh nghiệp trong và ngoài khu công nghiệp</t>
        </is>
      </c>
      <c r="M104" s="44" t="inlineStr">
        <is>
          <t>Công ty TNHH Inno Solutions</t>
        </is>
      </c>
      <c r="N104" s="65" t="n"/>
      <c r="O104" s="65" t="n"/>
      <c r="P104" s="44" t="n"/>
      <c r="Q104" s="65" t="n"/>
      <c r="R104" s="65" t="n"/>
      <c r="S104" s="44" t="inlineStr">
        <is>
          <t>Vợ (Chồng)</t>
        </is>
      </c>
      <c r="T104" s="65" t="n"/>
      <c r="U104" s="65" t="n"/>
    </row>
    <row r="105" ht="51" customHeight="1">
      <c r="A105" s="44" t="n">
        <v>65</v>
      </c>
      <c r="B105" s="44" t="n"/>
      <c r="C105" s="44" t="n"/>
      <c r="D105" s="44" t="inlineStr">
        <is>
          <t>Hoàng Thu Chi</t>
        </is>
      </c>
      <c r="E105" s="48" t="inlineStr">
        <is>
          <t>0985294963</t>
        </is>
      </c>
      <c r="F105" s="68" t="n">
        <v>3</v>
      </c>
      <c r="G105" s="68" t="n">
        <v>4</v>
      </c>
      <c r="H105" s="44" t="n">
        <v>1984</v>
      </c>
      <c r="I105" s="74" t="inlineStr">
        <is>
          <t>991417567</t>
        </is>
      </c>
      <c r="J105" s="70" t="inlineStr">
        <is>
          <t>999283453866</t>
        </is>
      </c>
      <c r="K105" s="56" t="inlineStr">
        <is>
          <t>Người lao động làm việc tại doanh nghiệp</t>
        </is>
      </c>
      <c r="L105" s="44" t="inlineStr">
        <is>
          <t>Người lao động đang làm việc tại các doanh nghiệp trong và ngoài khu công nghiệp</t>
        </is>
      </c>
      <c r="M105" s="44" t="inlineStr">
        <is>
          <t>Công ty cổ phần suất ăn hàng không Nội Bài</t>
        </is>
      </c>
      <c r="N105" s="44" t="inlineStr">
        <is>
          <t>Chưa có nhà ở thuộc sở hữu của hộ gia đình</t>
        </is>
      </c>
      <c r="O105" s="44" t="inlineStr">
        <is>
          <t>Hà Nội</t>
        </is>
      </c>
      <c r="P105" s="44" t="n"/>
      <c r="Q105" s="44" t="inlineStr">
        <is>
          <t>Nội Bài</t>
        </is>
      </c>
      <c r="R105" s="44" t="inlineStr">
        <is>
          <t>Có thu nhập bình quân hàng tháng thực nhận không quá 50 triệu đồng</t>
        </is>
      </c>
      <c r="S105" s="44" t="inlineStr">
        <is>
          <t>Chủ hộ</t>
        </is>
      </c>
      <c r="T105" s="44" t="inlineStr">
        <is>
          <t>CTS-Q-0401</t>
        </is>
      </c>
      <c r="U105" s="47" t="inlineStr">
        <is>
          <t>68.50</t>
        </is>
      </c>
    </row>
    <row r="106" ht="51" customHeight="1">
      <c r="A106" s="65" t="n"/>
      <c r="B106" s="44" t="n"/>
      <c r="C106" s="44" t="n"/>
      <c r="D106" s="44" t="inlineStr">
        <is>
          <t>Trịnh Thu Trang</t>
        </is>
      </c>
      <c r="E106" s="65" t="n"/>
      <c r="F106" s="68" t="n">
        <v>18</v>
      </c>
      <c r="G106" s="68" t="n">
        <v>5</v>
      </c>
      <c r="H106" s="44" t="n">
        <v>1985</v>
      </c>
      <c r="I106" s="69" t="inlineStr">
        <is>
          <t>997620996</t>
        </is>
      </c>
      <c r="J106" s="70" t="inlineStr">
        <is>
          <t>999207382110</t>
        </is>
      </c>
      <c r="K106" s="56" t="inlineStr">
        <is>
          <t>Người lao động làm việc tại doanh nghiệp</t>
        </is>
      </c>
      <c r="L106" s="44" t="inlineStr">
        <is>
          <t>Người lao động đang làm việc tại các doanh nghiệp trong và ngoài khu công nghiệp</t>
        </is>
      </c>
      <c r="M106" s="44" t="inlineStr">
        <is>
          <t>Công ty TNHH Emtopia Việt Nam</t>
        </is>
      </c>
      <c r="N106" s="65" t="n"/>
      <c r="O106" s="65" t="n"/>
      <c r="P106" s="44" t="n"/>
      <c r="Q106" s="65" t="n"/>
      <c r="R106" s="65" t="n"/>
      <c r="S106" s="44" t="inlineStr">
        <is>
          <t>Vợ (Chồng)</t>
        </is>
      </c>
      <c r="T106" s="65" t="n"/>
      <c r="U106" s="65" t="n"/>
    </row>
    <row r="107" ht="51" customHeight="1">
      <c r="A107" s="44" t="n">
        <v>66</v>
      </c>
      <c r="B107" s="44" t="n"/>
      <c r="C107" s="44" t="n"/>
      <c r="D107" s="44" t="inlineStr">
        <is>
          <t>Trịnh Thành Khoa</t>
        </is>
      </c>
      <c r="E107" s="48" t="inlineStr">
        <is>
          <t>0965824803</t>
        </is>
      </c>
      <c r="F107" s="68" t="n">
        <v>14</v>
      </c>
      <c r="G107" s="68" t="n">
        <v>12</v>
      </c>
      <c r="H107" s="44" t="n">
        <v>1998</v>
      </c>
      <c r="I107" s="69" t="inlineStr">
        <is>
          <t>998219826</t>
        </is>
      </c>
      <c r="J107" s="70" t="inlineStr">
        <is>
          <t>999319736944</t>
        </is>
      </c>
      <c r="K107" s="56" t="inlineStr">
        <is>
          <t>Người lao động làm việc tại doanh nghiệp</t>
        </is>
      </c>
      <c r="L107" s="44" t="inlineStr">
        <is>
          <t>Người lao động đang làm việc tại các doanh nghiệp trong và ngoài khu công nghiệp</t>
        </is>
      </c>
      <c r="M107" s="44" t="inlineStr">
        <is>
          <t>Công ty TNHH Giải pháp &amp; Dịch vụ Sky Tech</t>
        </is>
      </c>
      <c r="N107" s="44" t="inlineStr">
        <is>
          <t>Chưa có nhà ở thuộc sở hữu của hộ gia đình</t>
        </is>
      </c>
      <c r="O107" s="44" t="inlineStr">
        <is>
          <t>Bắc Ninh</t>
        </is>
      </c>
      <c r="P107" s="44" t="n"/>
      <c r="Q107" s="44" t="inlineStr">
        <is>
          <t>Tam Đa</t>
        </is>
      </c>
      <c r="R107" s="44" t="inlineStr">
        <is>
          <t>Có thu nhập bình quân hàng tháng thực nhận không quá 50 triệu đồng</t>
        </is>
      </c>
      <c r="S107" s="44" t="inlineStr">
        <is>
          <t>Chủ hộ</t>
        </is>
      </c>
      <c r="T107" s="44" t="inlineStr">
        <is>
          <t>CTS-Q-0408</t>
        </is>
      </c>
      <c r="U107" s="47" t="inlineStr">
        <is>
          <t>69.90</t>
        </is>
      </c>
    </row>
    <row r="108" ht="51" customHeight="1">
      <c r="A108" s="65" t="n"/>
      <c r="B108" s="44" t="n"/>
      <c r="C108" s="44" t="n"/>
      <c r="D108" s="44" t="inlineStr">
        <is>
          <t>Hoàng Ngọc Hà</t>
        </is>
      </c>
      <c r="E108" s="65" t="n"/>
      <c r="F108" s="68" t="n">
        <v>22</v>
      </c>
      <c r="G108" s="68" t="n">
        <v>8</v>
      </c>
      <c r="H108" s="44" t="n">
        <v>1994</v>
      </c>
      <c r="I108" s="69" t="inlineStr">
        <is>
          <t>998082189</t>
        </is>
      </c>
      <c r="J108" s="70" t="inlineStr">
        <is>
          <t>999262554681</t>
        </is>
      </c>
      <c r="K108" s="56" t="inlineStr">
        <is>
          <t>Lao động tự do</t>
        </is>
      </c>
      <c r="L108" s="44" t="inlineStr">
        <is>
          <t>Người thu nhập thấp tại khu vực đô thị</t>
        </is>
      </c>
      <c r="M108" s="44" t="inlineStr">
        <is>
          <t>Công an Xã Tam Đa</t>
        </is>
      </c>
      <c r="N108" s="65" t="n"/>
      <c r="O108" s="65" t="n"/>
      <c r="P108" s="44" t="n"/>
      <c r="Q108" s="65" t="n"/>
      <c r="R108" s="65" t="n"/>
      <c r="S108" s="44" t="inlineStr">
        <is>
          <t>Vợ (Chồng)</t>
        </is>
      </c>
      <c r="T108" s="65" t="n"/>
      <c r="U108" s="65" t="n"/>
    </row>
    <row r="109" ht="51" customHeight="1">
      <c r="A109" s="44">
        <f>IF(T109="","",MAX($A$3:A108)+1)</f>
        <v/>
      </c>
      <c r="B109" s="44" t="n"/>
      <c r="C109" s="44" t="n"/>
      <c r="D109" s="44" t="inlineStr">
        <is>
          <t>Hoàng Phương Giang</t>
        </is>
      </c>
      <c r="E109" s="48" t="inlineStr">
        <is>
          <t>0902232077</t>
        </is>
      </c>
      <c r="F109" s="68" t="n">
        <v>25</v>
      </c>
      <c r="G109" s="68" t="n">
        <v>1</v>
      </c>
      <c r="H109" s="44" t="n">
        <v>1989</v>
      </c>
      <c r="I109" s="69" t="inlineStr">
        <is>
          <t>990293097</t>
        </is>
      </c>
      <c r="J109" s="70" t="inlineStr">
        <is>
          <t>999665441248</t>
        </is>
      </c>
      <c r="K109" s="56" t="inlineStr">
        <is>
          <t>Lao động tự do</t>
        </is>
      </c>
      <c r="L109" s="44" t="inlineStr">
        <is>
          <t>Người thu nhập thấp tại khu vực đô thị</t>
        </is>
      </c>
      <c r="M109" s="44" t="inlineStr">
        <is>
          <t>Công an Xã Yên Trung</t>
        </is>
      </c>
      <c r="N109" s="44" t="inlineStr">
        <is>
          <t>Chưa có nhà ở thuộc sở hữu của hộ gia đình</t>
        </is>
      </c>
      <c r="O109" s="44" t="inlineStr">
        <is>
          <t>Bắc Ninh</t>
        </is>
      </c>
      <c r="P109" s="44" t="n"/>
      <c r="Q109" s="44" t="inlineStr">
        <is>
          <t>Tam Đa</t>
        </is>
      </c>
      <c r="R109" s="44" t="inlineStr">
        <is>
          <t>Có thu nhập bình quân hàng tháng thực nhận không quá 25 triệu đồng</t>
        </is>
      </c>
      <c r="S109" s="44" t="inlineStr">
        <is>
          <t>Chủ hộ</t>
        </is>
      </c>
      <c r="T109" s="44" t="inlineStr">
        <is>
          <t>CTS-Q-0411</t>
        </is>
      </c>
      <c r="U109" s="47" t="inlineStr">
        <is>
          <t>69.00</t>
        </is>
      </c>
    </row>
    <row r="110" ht="51" customHeight="1">
      <c r="A110" s="44">
        <f>IF(T110="","",MAX($A$3:A109)+1)</f>
        <v/>
      </c>
      <c r="B110" s="44" t="n"/>
      <c r="C110" s="44" t="n"/>
      <c r="D110" s="44" t="inlineStr">
        <is>
          <t>Đặng Thanh Hạnh</t>
        </is>
      </c>
      <c r="E110" s="48" t="inlineStr">
        <is>
          <t>0909039460</t>
        </is>
      </c>
      <c r="F110" s="68" t="n">
        <v>26</v>
      </c>
      <c r="G110" s="68" t="n">
        <v>7</v>
      </c>
      <c r="H110" s="44" t="n">
        <v>1996</v>
      </c>
      <c r="I110" s="69" t="inlineStr">
        <is>
          <t>995876911</t>
        </is>
      </c>
      <c r="J110" s="70" t="inlineStr">
        <is>
          <t>999181353815</t>
        </is>
      </c>
      <c r="K110" s="56" t="inlineStr">
        <is>
          <t>Lao động tự do</t>
        </is>
      </c>
      <c r="L110" s="44" t="inlineStr">
        <is>
          <t>Người thu nhập thấp tại khu vực đô thị</t>
        </is>
      </c>
      <c r="M110" s="44" t="inlineStr">
        <is>
          <t>Công an Xã Tam Đa</t>
        </is>
      </c>
      <c r="N110" s="44" t="inlineStr">
        <is>
          <t>Chưa có nhà ở thuộc sở hữu của hộ gia đình</t>
        </is>
      </c>
      <c r="O110" s="44" t="inlineStr">
        <is>
          <t>Bắc Ninh</t>
        </is>
      </c>
      <c r="P110" s="44" t="n"/>
      <c r="Q110" s="44" t="inlineStr">
        <is>
          <t>Tam Đa</t>
        </is>
      </c>
      <c r="R110" s="44" t="inlineStr">
        <is>
          <t>Có thu nhập bình quân hàng tháng thực nhận không quá 50 triệu đồng</t>
        </is>
      </c>
      <c r="S110" s="44" t="inlineStr">
        <is>
          <t>Chủ hộ</t>
        </is>
      </c>
      <c r="T110" s="44" t="inlineStr">
        <is>
          <t>CTS-Q-0604</t>
        </is>
      </c>
      <c r="U110" s="47" t="inlineStr">
        <is>
          <t>69.40</t>
        </is>
      </c>
    </row>
    <row r="111" ht="51" customHeight="1">
      <c r="A111" s="65" t="n"/>
      <c r="B111" s="44" t="n"/>
      <c r="C111" s="44" t="n"/>
      <c r="D111" s="44" t="inlineStr">
        <is>
          <t>Phan Ngọc Yến</t>
        </is>
      </c>
      <c r="E111" s="65" t="n"/>
      <c r="F111" s="68" t="n">
        <v>17</v>
      </c>
      <c r="G111" s="68" t="n">
        <v>2</v>
      </c>
      <c r="H111" s="44" t="n">
        <v>1996</v>
      </c>
      <c r="I111" s="69" t="inlineStr">
        <is>
          <t>998249265</t>
        </is>
      </c>
      <c r="J111" s="70" t="inlineStr">
        <is>
          <t>999521696198</t>
        </is>
      </c>
      <c r="K111" s="56" t="inlineStr">
        <is>
          <t>Lao động tự do</t>
        </is>
      </c>
      <c r="L111" s="44" t="inlineStr">
        <is>
          <t>Người thu nhập thấp tại khu vực đô thị</t>
        </is>
      </c>
      <c r="M111" s="44" t="inlineStr">
        <is>
          <t>Công an Xã Tam Đa</t>
        </is>
      </c>
      <c r="N111" s="65" t="n"/>
      <c r="O111" s="65" t="n"/>
      <c r="P111" s="44" t="n"/>
      <c r="Q111" s="65" t="n"/>
      <c r="R111" s="65" t="n"/>
      <c r="S111" s="44" t="inlineStr">
        <is>
          <t>Vợ (Chồng)</t>
        </is>
      </c>
      <c r="T111" s="65" t="n"/>
      <c r="U111" s="65" t="n"/>
    </row>
    <row r="112" ht="51" customHeight="1">
      <c r="A112" s="44">
        <f>IF(T112="","",MAX($A$3:A111)+1)</f>
        <v/>
      </c>
      <c r="B112" s="44" t="n"/>
      <c r="C112" s="44" t="n"/>
      <c r="D112" s="44" t="inlineStr">
        <is>
          <t>Phạm Tiến Tùng</t>
        </is>
      </c>
      <c r="E112" s="48" t="inlineStr">
        <is>
          <t>0941054362</t>
        </is>
      </c>
      <c r="F112" s="68" t="n">
        <v>28</v>
      </c>
      <c r="G112" s="68" t="n">
        <v>7</v>
      </c>
      <c r="H112" s="44" t="n">
        <v>1988</v>
      </c>
      <c r="I112" s="69" t="inlineStr">
        <is>
          <t>999818178</t>
        </is>
      </c>
      <c r="J112" s="70" t="inlineStr">
        <is>
          <t>999080452729</t>
        </is>
      </c>
      <c r="K112" s="56" t="inlineStr">
        <is>
          <t>Cán bộ, công chức, viên chức</t>
        </is>
      </c>
      <c r="L112" s="44" t="inlineStr">
        <is>
          <t>Cán bộ, công chức, viên chức theo quy định của pháp luật về cán bộ, công chức, viên chức</t>
        </is>
      </c>
      <c r="M112" s="44" t="inlineStr">
        <is>
          <t>Trường Mầm non Yên Trung</t>
        </is>
      </c>
      <c r="N112" s="44" t="inlineStr">
        <is>
          <t>Chưa có nhà ở thuộc sở hữu của hộ gia đình</t>
        </is>
      </c>
      <c r="O112" s="44" t="inlineStr">
        <is>
          <t>Bắc Ninh</t>
        </is>
      </c>
      <c r="P112" s="44" t="n"/>
      <c r="Q112" s="44" t="inlineStr">
        <is>
          <t>Yên Trung</t>
        </is>
      </c>
      <c r="R112" s="44" t="inlineStr">
        <is>
          <t>Có thu nhập bình quân hàng tháng thực nhận không quá 50 triệu đồng</t>
        </is>
      </c>
      <c r="S112" s="44" t="inlineStr">
        <is>
          <t>Chủ hộ</t>
        </is>
      </c>
      <c r="T112" s="44" t="inlineStr">
        <is>
          <t>CTS-R-0301</t>
        </is>
      </c>
      <c r="U112" s="47" t="inlineStr">
        <is>
          <t>68.50</t>
        </is>
      </c>
    </row>
    <row r="113" ht="51" customHeight="1">
      <c r="A113" s="65" t="n"/>
      <c r="B113" s="44" t="n"/>
      <c r="C113" s="44" t="n"/>
      <c r="D113" s="44" t="inlineStr">
        <is>
          <t>Dương Thị Oanh</t>
        </is>
      </c>
      <c r="E113" s="65" t="n"/>
      <c r="F113" s="68" t="n">
        <v>11</v>
      </c>
      <c r="G113" s="68" t="n">
        <v>3</v>
      </c>
      <c r="H113" s="44" t="n">
        <v>1986</v>
      </c>
      <c r="I113" s="69" t="inlineStr">
        <is>
          <t>993153139</t>
        </is>
      </c>
      <c r="J113" s="70" t="inlineStr">
        <is>
          <t>999427061906</t>
        </is>
      </c>
      <c r="K113" s="56" t="inlineStr">
        <is>
          <t>Người lao động làm việc tại doanh nghiệp</t>
        </is>
      </c>
      <c r="L113" s="44" t="inlineStr">
        <is>
          <t>Người lao động đang làm việc tại các doanh nghiệp trong và ngoài khu công nghiệp</t>
        </is>
      </c>
      <c r="M113" s="44" t="inlineStr">
        <is>
          <t>Công ty TNHH Intops Việt Nam</t>
        </is>
      </c>
      <c r="N113" s="65" t="n"/>
      <c r="O113" s="65" t="n"/>
      <c r="P113" s="44" t="n"/>
      <c r="Q113" s="65" t="n"/>
      <c r="R113" s="65" t="n"/>
      <c r="S113" s="44" t="inlineStr">
        <is>
          <t>Vợ (Chồng)</t>
        </is>
      </c>
      <c r="T113" s="65" t="n"/>
      <c r="U113" s="65" t="n"/>
    </row>
    <row r="114" ht="51" customFormat="1" customHeight="1" s="18">
      <c r="A114" s="46">
        <f>IF(T114="","",MAX($A$3:A113)+1)</f>
        <v/>
      </c>
      <c r="B114" s="46" t="n"/>
      <c r="C114" s="46" t="n"/>
      <c r="D114" s="46" t="inlineStr">
        <is>
          <t>Đỗ Thanh Nhung</t>
        </is>
      </c>
      <c r="E114" s="58" t="inlineStr">
        <is>
          <t>0919314689</t>
        </is>
      </c>
      <c r="F114" s="71" t="n">
        <v>19</v>
      </c>
      <c r="G114" s="71" t="n">
        <v>2</v>
      </c>
      <c r="H114" s="46" t="n">
        <v>2002</v>
      </c>
      <c r="I114" s="72" t="inlineStr">
        <is>
          <t>995862627</t>
        </is>
      </c>
      <c r="J114" s="73" t="inlineStr">
        <is>
          <t>999029007060</t>
        </is>
      </c>
      <c r="K114" s="36" t="inlineStr">
        <is>
          <t>Lao động tự do</t>
        </is>
      </c>
      <c r="L114" s="46" t="inlineStr">
        <is>
          <t>Người thu nhập thấp tại khu vực đô thị</t>
        </is>
      </c>
      <c r="M114" s="46" t="inlineStr">
        <is>
          <t>Công an Phường Võ Cường</t>
        </is>
      </c>
      <c r="N114" s="46" t="inlineStr">
        <is>
          <t>Chưa có nhà ở thuộc sở hữu của hộ gia đình</t>
        </is>
      </c>
      <c r="O114" s="46" t="inlineStr">
        <is>
          <t>Bắc Ninh</t>
        </is>
      </c>
      <c r="P114" s="46" t="n"/>
      <c r="Q114" s="46" t="inlineStr">
        <is>
          <t>Võ Cường</t>
        </is>
      </c>
      <c r="R114" s="46" t="inlineStr">
        <is>
          <t>Có thu nhập bình quân hàng tháng thực nhận không quá 25 triệu đồng</t>
        </is>
      </c>
      <c r="S114" s="46" t="inlineStr">
        <is>
          <t>Chủ hộ</t>
        </is>
      </c>
      <c r="T114" s="46" t="inlineStr">
        <is>
          <t>CTS-R-0507</t>
        </is>
      </c>
      <c r="U114" s="47" t="inlineStr">
        <is>
          <t>69.90</t>
        </is>
      </c>
      <c r="V114" s="17" t="n"/>
    </row>
    <row r="115" ht="51" customHeight="1">
      <c r="A115" s="44" t="n">
        <v>71</v>
      </c>
      <c r="B115" s="44" t="n"/>
      <c r="C115" s="44" t="n"/>
      <c r="D115" s="44" t="inlineStr">
        <is>
          <t>Đinh Phương Thảo</t>
        </is>
      </c>
      <c r="E115" s="48" t="inlineStr">
        <is>
          <t>0941106009</t>
        </is>
      </c>
      <c r="F115" s="68" t="n">
        <v>28</v>
      </c>
      <c r="G115" s="68" t="n">
        <v>4</v>
      </c>
      <c r="H115" s="44" t="n">
        <v>1991</v>
      </c>
      <c r="I115" s="69" t="inlineStr">
        <is>
          <t>995316051</t>
        </is>
      </c>
      <c r="J115" s="70" t="inlineStr">
        <is>
          <t>999144871473</t>
        </is>
      </c>
      <c r="K115" s="56" t="inlineStr">
        <is>
          <t>Người lao động làm việc tại doanh nghiệp</t>
        </is>
      </c>
      <c r="L115" s="44" t="inlineStr">
        <is>
          <t>Người lao động đang làm việc tại các doanh nghiệp trong và ngoài khu công nghiệp</t>
        </is>
      </c>
      <c r="M115" s="44" t="inlineStr">
        <is>
          <t>Công ty Cổ phần May Việt Trí Thái Bình</t>
        </is>
      </c>
      <c r="N115" s="44" t="inlineStr">
        <is>
          <t>Chưa có nhà ở thuộc sở hữu của hộ gia đình</t>
        </is>
      </c>
      <c r="O115" s="44" t="inlineStr">
        <is>
          <t>Hưng Yên</t>
        </is>
      </c>
      <c r="P115" s="44" t="n"/>
      <c r="Q115" s="44" t="inlineStr">
        <is>
          <t>Quỳnh An</t>
        </is>
      </c>
      <c r="R115" s="44" t="inlineStr">
        <is>
          <t>Có thu nhập bình quân hàng tháng thực nhận không quá 50 triệu đồng</t>
        </is>
      </c>
      <c r="S115" s="44" t="inlineStr">
        <is>
          <t>Chủ hộ</t>
        </is>
      </c>
      <c r="T115" s="44" t="inlineStr">
        <is>
          <t>CTS-R-0511</t>
        </is>
      </c>
      <c r="U115" s="47" t="inlineStr">
        <is>
          <t>69.00</t>
        </is>
      </c>
    </row>
    <row r="116" ht="51" customHeight="1">
      <c r="A116" s="65" t="n"/>
      <c r="B116" s="44" t="n"/>
      <c r="C116" s="44" t="n"/>
      <c r="D116" s="44" t="inlineStr">
        <is>
          <t>Vũ Khánh Anh</t>
        </is>
      </c>
      <c r="E116" s="65" t="n"/>
      <c r="F116" s="68" t="n">
        <v>23</v>
      </c>
      <c r="G116" s="68" t="n">
        <v>3</v>
      </c>
      <c r="H116" s="44" t="n">
        <v>1987</v>
      </c>
      <c r="I116" s="69" t="inlineStr">
        <is>
          <t>996501243</t>
        </is>
      </c>
      <c r="J116" s="70" t="inlineStr">
        <is>
          <t>999146112588</t>
        </is>
      </c>
      <c r="K116" s="56" t="inlineStr">
        <is>
          <t>Người lao động làm việc tại doanh nghiệp</t>
        </is>
      </c>
      <c r="L116" s="44" t="inlineStr">
        <is>
          <t>Người lao động đang làm việc tại các doanh nghiệp trong và ngoài khu công nghiệp</t>
        </is>
      </c>
      <c r="M116" s="44" t="inlineStr">
        <is>
          <t>Chi nhánh Tập đoàn Công nghiệp Than - Khoáng sản Việt Nam - Công ty Than Dương Huy - TKV</t>
        </is>
      </c>
      <c r="N116" s="65" t="n"/>
      <c r="O116" s="65" t="n"/>
      <c r="P116" s="44" t="n"/>
      <c r="Q116" s="65" t="n"/>
      <c r="R116" s="65" t="n"/>
      <c r="S116" s="44" t="inlineStr">
        <is>
          <t>Vợ (Chồng)</t>
        </is>
      </c>
      <c r="T116" s="65" t="n"/>
      <c r="U116" s="65" t="n"/>
    </row>
    <row r="117" ht="51" customHeight="1">
      <c r="A117" s="44">
        <f>IF(T117="","",MAX($A$3:A116)+1)</f>
        <v/>
      </c>
      <c r="B117" s="44" t="n"/>
      <c r="C117" s="44" t="n"/>
      <c r="D117" s="44" t="inlineStr">
        <is>
          <t>Dương Thành Sơn</t>
        </is>
      </c>
      <c r="E117" s="48" t="inlineStr">
        <is>
          <t>0917384337</t>
        </is>
      </c>
      <c r="F117" s="68" t="n">
        <v>13</v>
      </c>
      <c r="G117" s="68" t="n">
        <v>5</v>
      </c>
      <c r="H117" s="44" t="n">
        <v>1998</v>
      </c>
      <c r="I117" s="69" t="inlineStr">
        <is>
          <t>991814195</t>
        </is>
      </c>
      <c r="J117" s="70" t="inlineStr">
        <is>
          <t>999633324454</t>
        </is>
      </c>
      <c r="K117" s="56" t="inlineStr">
        <is>
          <t>Người lao động làm việc tại doanh nghiệp</t>
        </is>
      </c>
      <c r="L117" s="44" t="inlineStr">
        <is>
          <t>Người lao động đang làm việc tại các doanh nghiệp trong và ngoài khu công nghiệp</t>
        </is>
      </c>
      <c r="M117" s="44" t="inlineStr">
        <is>
          <t>Công ty TNHH Samsung Display Việt Nam</t>
        </is>
      </c>
      <c r="N117" s="44" t="inlineStr">
        <is>
          <t>Chưa có nhà ở thuộc sở hữu của hộ gia đình</t>
        </is>
      </c>
      <c r="O117" s="44" t="inlineStr">
        <is>
          <t>Bắc Ninh</t>
        </is>
      </c>
      <c r="P117" s="44" t="n"/>
      <c r="Q117" s="44" t="inlineStr">
        <is>
          <t>Yên Trung</t>
        </is>
      </c>
      <c r="R117" s="44" t="inlineStr">
        <is>
          <t>Có thu nhập bình quân hàng tháng thực nhận không quá 25 triệu đồng</t>
        </is>
      </c>
      <c r="S117" s="44" t="inlineStr">
        <is>
          <t>Chủ hộ</t>
        </is>
      </c>
      <c r="T117" s="44" t="inlineStr">
        <is>
          <t>CTS-R-0611</t>
        </is>
      </c>
      <c r="U117" s="47" t="inlineStr">
        <is>
          <t>69.00</t>
        </is>
      </c>
    </row>
    <row r="118" ht="51" customHeight="1">
      <c r="A118" s="44">
        <f>IF(T118="","",MAX($A$3:A117)+1)</f>
        <v/>
      </c>
      <c r="B118" s="44" t="n"/>
      <c r="C118" s="44" t="n"/>
      <c r="D118" s="44" t="inlineStr">
        <is>
          <t>Đặng Công Việt</t>
        </is>
      </c>
      <c r="E118" s="48" t="inlineStr">
        <is>
          <t>0984152402</t>
        </is>
      </c>
      <c r="F118" s="68" t="n">
        <v>24</v>
      </c>
      <c r="G118" s="68" t="n">
        <v>5</v>
      </c>
      <c r="H118" s="44" t="n">
        <v>1990</v>
      </c>
      <c r="I118" s="69" t="inlineStr">
        <is>
          <t>995694204</t>
        </is>
      </c>
      <c r="J118" s="70" t="inlineStr">
        <is>
          <t>999690101251</t>
        </is>
      </c>
      <c r="K118" s="56" t="inlineStr">
        <is>
          <t>Người lao động làm việc tại doanh nghiệp</t>
        </is>
      </c>
      <c r="L118" s="44" t="inlineStr">
        <is>
          <t>Người lao động đang làm việc tại các doanh nghiệp trong và ngoài khu công nghiệp</t>
        </is>
      </c>
      <c r="M118" s="44" t="inlineStr">
        <is>
          <t>Công ty TNHH Samsung Display Việt Nam</t>
        </is>
      </c>
      <c r="N118" s="44" t="inlineStr">
        <is>
          <t>Chưa có nhà ở thuộc sở hữu của hộ gia đình</t>
        </is>
      </c>
      <c r="O118" s="44" t="inlineStr">
        <is>
          <t>Bắc Ninh</t>
        </is>
      </c>
      <c r="P118" s="44" t="n"/>
      <c r="Q118" s="44" t="inlineStr">
        <is>
          <t>Yên Trung</t>
        </is>
      </c>
      <c r="R118" s="44" t="inlineStr">
        <is>
          <t>Có thu nhập bình quân hàng tháng thực nhận không quá 50 triệu đồng</t>
        </is>
      </c>
      <c r="S118" s="44" t="inlineStr">
        <is>
          <t>Chủ hộ</t>
        </is>
      </c>
      <c r="T118" s="44" t="inlineStr">
        <is>
          <t>CTS-R-0703</t>
        </is>
      </c>
      <c r="U118" s="47" t="inlineStr">
        <is>
          <t>51.00</t>
        </is>
      </c>
    </row>
    <row r="119" ht="51" customHeight="1">
      <c r="A119" s="65" t="n"/>
      <c r="B119" s="44" t="n"/>
      <c r="C119" s="44" t="n"/>
      <c r="D119" s="44" t="inlineStr">
        <is>
          <t>Phạm Thanh Chi</t>
        </is>
      </c>
      <c r="E119" s="65" t="n"/>
      <c r="F119" s="68" t="n">
        <v>23</v>
      </c>
      <c r="G119" s="68" t="n">
        <v>7</v>
      </c>
      <c r="H119" s="44" t="n">
        <v>1998</v>
      </c>
      <c r="I119" s="69" t="n"/>
      <c r="J119" s="70" t="inlineStr">
        <is>
          <t>999622372182</t>
        </is>
      </c>
      <c r="K119" s="56" t="inlineStr">
        <is>
          <t>Người lao động làm việc tại doanh nghiệp</t>
        </is>
      </c>
      <c r="L119" s="44" t="inlineStr">
        <is>
          <t>Người lao động đang làm việc tại các doanh nghiệp trong và ngoài khu công nghiệp</t>
        </is>
      </c>
      <c r="M119" s="44" t="inlineStr">
        <is>
          <t>Công ty cổ phần đầu tư IPT Group</t>
        </is>
      </c>
      <c r="N119" s="65" t="n"/>
      <c r="O119" s="65" t="n"/>
      <c r="P119" s="44" t="n"/>
      <c r="Q119" s="65" t="n"/>
      <c r="R119" s="65" t="n"/>
      <c r="S119" s="44" t="inlineStr">
        <is>
          <t>Vợ (Chồng)</t>
        </is>
      </c>
      <c r="T119" s="65" t="n"/>
      <c r="U119" s="65" t="n"/>
    </row>
    <row r="120" ht="51" customHeight="1">
      <c r="A120" s="44" t="n">
        <v>74</v>
      </c>
      <c r="B120" s="44" t="n"/>
      <c r="C120" s="44" t="n"/>
      <c r="D120" s="44" t="inlineStr">
        <is>
          <t>Dương Ngọc Hoa</t>
        </is>
      </c>
      <c r="E120" s="48" t="inlineStr">
        <is>
          <t>0911069240</t>
        </is>
      </c>
      <c r="F120" s="68" t="n">
        <v>16</v>
      </c>
      <c r="G120" s="68" t="n">
        <v>7</v>
      </c>
      <c r="H120" s="44" t="n">
        <v>2002</v>
      </c>
      <c r="I120" s="69" t="inlineStr">
        <is>
          <t>998835123</t>
        </is>
      </c>
      <c r="J120" s="70" t="inlineStr">
        <is>
          <t>999106645862</t>
        </is>
      </c>
      <c r="K120" s="56" t="inlineStr">
        <is>
          <t>Người lao động làm việc tại doanh nghiệp</t>
        </is>
      </c>
      <c r="L120" s="44" t="inlineStr">
        <is>
          <t>Người lao động đang làm việc tại các doanh nghiệp trong và ngoài khu công nghiệp</t>
        </is>
      </c>
      <c r="M120" s="44" t="inlineStr">
        <is>
          <t>Công ty TNHH Lingyi Việt Nam</t>
        </is>
      </c>
      <c r="N120" s="44" t="inlineStr">
        <is>
          <t>Chưa có nhà ở thuộc sở hữu của hộ gia đình</t>
        </is>
      </c>
      <c r="O120" s="44" t="inlineStr">
        <is>
          <t>Bắc Ninh</t>
        </is>
      </c>
      <c r="P120" s="44" t="n"/>
      <c r="Q120" s="44" t="inlineStr">
        <is>
          <t>Tiên Lục</t>
        </is>
      </c>
      <c r="R120" s="44" t="inlineStr">
        <is>
          <t>Có thu nhập bình quân hàng tháng thực nhận không quá 25 triệu đồng</t>
        </is>
      </c>
      <c r="S120" s="44" t="inlineStr">
        <is>
          <t>Chủ hộ</t>
        </is>
      </c>
      <c r="T120" s="44" t="inlineStr">
        <is>
          <t>CTS-R-0803</t>
        </is>
      </c>
      <c r="U120" s="47" t="inlineStr">
        <is>
          <t>51.00</t>
        </is>
      </c>
    </row>
    <row r="121" ht="51" customHeight="1">
      <c r="A121" s="44" t="n">
        <v>75</v>
      </c>
      <c r="B121" s="44" t="n"/>
      <c r="C121" s="44" t="n"/>
      <c r="D121" s="44" t="inlineStr">
        <is>
          <t>Nguyễn Hữu Bình</t>
        </is>
      </c>
      <c r="E121" s="48" t="inlineStr">
        <is>
          <t>0964174350</t>
        </is>
      </c>
      <c r="F121" s="68" t="n">
        <v>8</v>
      </c>
      <c r="G121" s="68" t="n">
        <v>9</v>
      </c>
      <c r="H121" s="44" t="n">
        <v>1954</v>
      </c>
      <c r="I121" s="69" t="inlineStr">
        <is>
          <t>994124550</t>
        </is>
      </c>
      <c r="J121" s="70" t="inlineStr">
        <is>
          <t>999769313535</t>
        </is>
      </c>
      <c r="K121" s="56" t="inlineStr">
        <is>
          <t>Người có công với cách mạng</t>
        </is>
      </c>
      <c r="L121" s="44" t="inlineStr">
        <is>
          <t>Người có công với cách mạng theo quy định của pháp luật về ưu đãi người có công với cách mạng</t>
        </is>
      </c>
      <c r="M121" s="44" t="inlineStr">
        <is>
          <t>UBND xã Lạng Giang</t>
        </is>
      </c>
      <c r="N121" s="44" t="inlineStr">
        <is>
          <t>Chưa có nhà ở thuộc sở hữu của hộ gia đình</t>
        </is>
      </c>
      <c r="O121" s="44" t="inlineStr">
        <is>
          <t>Bắc Ninh</t>
        </is>
      </c>
      <c r="P121" s="44" t="n"/>
      <c r="Q121" s="44" t="inlineStr">
        <is>
          <t>Lạng Giang</t>
        </is>
      </c>
      <c r="R121" s="44" t="inlineStr">
        <is>
          <t>Có thu nhập bình quân hàng tháng thực nhận không quá 50 triệu đồng</t>
        </is>
      </c>
      <c r="S121" s="44" t="inlineStr">
        <is>
          <t>Chủ hộ</t>
        </is>
      </c>
      <c r="T121" s="44" t="inlineStr">
        <is>
          <t>CTS-R-0811</t>
        </is>
      </c>
      <c r="U121" s="47" t="inlineStr">
        <is>
          <t>69.00</t>
        </is>
      </c>
    </row>
    <row r="122" ht="51" customHeight="1">
      <c r="A122" s="65" t="n"/>
      <c r="B122" s="44" t="n"/>
      <c r="C122" s="44" t="n"/>
      <c r="D122" s="44" t="inlineStr">
        <is>
          <t>Dương Ngọc Chi</t>
        </is>
      </c>
      <c r="E122" s="65" t="n"/>
      <c r="F122" s="68" t="n">
        <v>20</v>
      </c>
      <c r="G122" s="68" t="n">
        <v>5</v>
      </c>
      <c r="H122" s="44" t="n">
        <v>1957</v>
      </c>
      <c r="I122" s="69" t="inlineStr">
        <is>
          <t>991240252</t>
        </is>
      </c>
      <c r="J122" s="70" t="inlineStr">
        <is>
          <t>999128590255</t>
        </is>
      </c>
      <c r="K122" s="56" t="inlineStr">
        <is>
          <t>Lao động tự do</t>
        </is>
      </c>
      <c r="L122" s="44" t="inlineStr">
        <is>
          <t>Người thu nhập thấp tại khu vực đô thị</t>
        </is>
      </c>
      <c r="M122" s="44" t="n"/>
      <c r="N122" s="65" t="n"/>
      <c r="O122" s="65" t="n"/>
      <c r="P122" s="44" t="n"/>
      <c r="Q122" s="65" t="n"/>
      <c r="R122" s="65" t="n"/>
      <c r="S122" s="44" t="inlineStr">
        <is>
          <t>Vợ (Chồng)</t>
        </is>
      </c>
      <c r="T122" s="65" t="n"/>
      <c r="U122" s="65" t="n"/>
    </row>
    <row r="123" ht="51" customHeight="1">
      <c r="A123" s="44" t="n">
        <v>76</v>
      </c>
      <c r="B123" s="44" t="n"/>
      <c r="C123" s="44" t="n"/>
      <c r="D123" s="44" t="inlineStr">
        <is>
          <t>Đỗ Thị Ngân</t>
        </is>
      </c>
      <c r="E123" s="48" t="inlineStr">
        <is>
          <t>0932474512</t>
        </is>
      </c>
      <c r="F123" s="68" t="n">
        <v>12</v>
      </c>
      <c r="G123" s="68" t="n">
        <v>7</v>
      </c>
      <c r="H123" s="44" t="n">
        <v>2000</v>
      </c>
      <c r="I123" s="69" t="inlineStr">
        <is>
          <t>995864968</t>
        </is>
      </c>
      <c r="J123" s="70" t="inlineStr">
        <is>
          <t>999956023060</t>
        </is>
      </c>
      <c r="K123" s="56" t="inlineStr">
        <is>
          <t>Người lao động làm việc tại doanh nghiệp</t>
        </is>
      </c>
      <c r="L123" s="44" t="inlineStr">
        <is>
          <t>Người lao động đang làm việc tại các doanh nghiệp trong và ngoài khu công nghiệp</t>
        </is>
      </c>
      <c r="M123" s="44" t="inlineStr">
        <is>
          <t>Công ty TNHH Dệt May XNK Tân Thịnh</t>
        </is>
      </c>
      <c r="N123" s="44" t="inlineStr">
        <is>
          <t>Chưa có nhà ở thuộc sở hữu của hộ gia đình</t>
        </is>
      </c>
      <c r="O123" s="44" t="inlineStr">
        <is>
          <t>Hà Nội</t>
        </is>
      </c>
      <c r="P123" s="44" t="n"/>
      <c r="Q123" s="44" t="inlineStr">
        <is>
          <t>Từ Liêm</t>
        </is>
      </c>
      <c r="R123" s="44" t="inlineStr">
        <is>
          <t>Có thu nhập bình quân hàng tháng thực nhận không quá 25 triệu đồng</t>
        </is>
      </c>
      <c r="S123" s="44" t="inlineStr">
        <is>
          <t>Chủ hộ</t>
        </is>
      </c>
      <c r="T123" s="44" t="inlineStr">
        <is>
          <t>CTS-S-0206</t>
        </is>
      </c>
      <c r="U123" s="47" t="inlineStr">
        <is>
          <t>69.40</t>
        </is>
      </c>
    </row>
    <row r="124" ht="51" customHeight="1">
      <c r="A124" s="44" t="n">
        <v>77</v>
      </c>
      <c r="B124" s="44" t="n"/>
      <c r="C124" s="44" t="n"/>
      <c r="D124" s="44" t="inlineStr">
        <is>
          <t>Lê Thu Thảo</t>
        </is>
      </c>
      <c r="E124" s="48" t="inlineStr">
        <is>
          <t>0908970215</t>
        </is>
      </c>
      <c r="F124" s="68" t="n">
        <v>10</v>
      </c>
      <c r="G124" s="68" t="n">
        <v>5</v>
      </c>
      <c r="H124" s="44" t="n">
        <v>1992</v>
      </c>
      <c r="I124" s="74" t="inlineStr">
        <is>
          <t>998552042</t>
        </is>
      </c>
      <c r="J124" s="70" t="inlineStr">
        <is>
          <t>999842253535</t>
        </is>
      </c>
      <c r="K124" s="56" t="inlineStr">
        <is>
          <t>Người lao động làm việc tại doanh nghiệp</t>
        </is>
      </c>
      <c r="L124" s="44" t="inlineStr">
        <is>
          <t>Người lao động đang làm việc tại các doanh nghiệp trong và ngoài khu công nghiệp</t>
        </is>
      </c>
      <c r="M124" s="44" t="inlineStr">
        <is>
          <t>Công ty TNHH điện NISSIN Việt Nam</t>
        </is>
      </c>
      <c r="N124" s="44" t="inlineStr">
        <is>
          <t>Chưa có nhà ở thuộc sở hữu của hộ gia đình</t>
        </is>
      </c>
      <c r="O124" s="44" t="inlineStr">
        <is>
          <t>Bắc Ninh</t>
        </is>
      </c>
      <c r="P124" s="44" t="n"/>
      <c r="Q124" s="44" t="inlineStr">
        <is>
          <t>Yên Phong</t>
        </is>
      </c>
      <c r="R124" s="44" t="inlineStr">
        <is>
          <t>Có thu nhập bình quân hàng tháng thực nhận không quá 25 triệu đồng</t>
        </is>
      </c>
      <c r="S124" s="44" t="inlineStr">
        <is>
          <t>Chủ hộ</t>
        </is>
      </c>
      <c r="T124" s="44" t="inlineStr">
        <is>
          <t>CTS-S-0305</t>
        </is>
      </c>
      <c r="U124" s="47" t="inlineStr">
        <is>
          <t>69.40</t>
        </is>
      </c>
    </row>
    <row r="125" ht="51" customHeight="1">
      <c r="A125" s="44" t="n">
        <v>78</v>
      </c>
      <c r="B125" s="44" t="n"/>
      <c r="C125" s="44" t="n"/>
      <c r="D125" s="44" t="inlineStr">
        <is>
          <t>Đặng Hữu Khoa</t>
        </is>
      </c>
      <c r="E125" s="48" t="inlineStr">
        <is>
          <t>0902859966</t>
        </is>
      </c>
      <c r="F125" s="68" t="n">
        <v>11</v>
      </c>
      <c r="G125" s="68" t="n">
        <v>11</v>
      </c>
      <c r="H125" s="44" t="n">
        <v>1986</v>
      </c>
      <c r="I125" s="69" t="inlineStr">
        <is>
          <t>993647813</t>
        </is>
      </c>
      <c r="J125" s="70" t="inlineStr">
        <is>
          <t>999159971728</t>
        </is>
      </c>
      <c r="K125" s="56" t="inlineStr">
        <is>
          <t>Người lao động làm việc tại doanh nghiệp</t>
        </is>
      </c>
      <c r="L125" s="44" t="inlineStr">
        <is>
          <t>Người lao động đang làm việc tại các doanh nghiệp trong và ngoài khu công nghiệp</t>
        </is>
      </c>
      <c r="M125" s="44" t="inlineStr">
        <is>
          <t>Công ty TNHH Samsung Electronics Việt Nam</t>
        </is>
      </c>
      <c r="N125" s="44" t="inlineStr">
        <is>
          <t>Chưa có nhà ở thuộc sở hữu của hộ gia đình</t>
        </is>
      </c>
      <c r="O125" s="44" t="inlineStr">
        <is>
          <t>Bắc Ninh</t>
        </is>
      </c>
      <c r="P125" s="44" t="n"/>
      <c r="Q125" s="44" t="inlineStr">
        <is>
          <t>Yên Trung</t>
        </is>
      </c>
      <c r="R125" s="44" t="inlineStr">
        <is>
          <t>Có thu nhập bình quân hàng tháng thực nhận không quá 50 triệu đồng</t>
        </is>
      </c>
      <c r="S125" s="44" t="inlineStr">
        <is>
          <t>Chủ hộ</t>
        </is>
      </c>
      <c r="T125" s="44" t="inlineStr">
        <is>
          <t>CTS-S-0606</t>
        </is>
      </c>
      <c r="U125" s="47" t="inlineStr">
        <is>
          <t>69.40</t>
        </is>
      </c>
    </row>
    <row r="126" ht="51" customHeight="1">
      <c r="A126" s="65" t="n"/>
      <c r="B126" s="44" t="n"/>
      <c r="C126" s="44" t="n"/>
      <c r="D126" s="44" t="inlineStr">
        <is>
          <t>Đặng Hồng Ngân</t>
        </is>
      </c>
      <c r="E126" s="65" t="n"/>
      <c r="F126" s="68" t="n">
        <v>17</v>
      </c>
      <c r="G126" s="68" t="n">
        <v>3</v>
      </c>
      <c r="H126" s="44" t="n">
        <v>1985</v>
      </c>
      <c r="I126" s="69" t="inlineStr">
        <is>
          <t>990321561</t>
        </is>
      </c>
      <c r="J126" s="70" t="inlineStr">
        <is>
          <t>999540160320</t>
        </is>
      </c>
      <c r="K126" s="56" t="inlineStr">
        <is>
          <t>Lao động tự do</t>
        </is>
      </c>
      <c r="L126" s="44" t="inlineStr">
        <is>
          <t>Người thu nhập thấp tại khu vực đô thị</t>
        </is>
      </c>
      <c r="M126" s="44" t="inlineStr">
        <is>
          <t>Công an Xã Yên Trung</t>
        </is>
      </c>
      <c r="N126" s="65" t="n"/>
      <c r="O126" s="65" t="n"/>
      <c r="P126" s="44" t="n"/>
      <c r="Q126" s="65" t="n"/>
      <c r="R126" s="65" t="n"/>
      <c r="S126" s="44" t="inlineStr">
        <is>
          <t>Vợ (Chồng)</t>
        </is>
      </c>
      <c r="T126" s="65" t="n"/>
      <c r="U126" s="65" t="n"/>
    </row>
    <row r="127" ht="51" customHeight="1">
      <c r="A127" s="44" t="n">
        <v>79</v>
      </c>
      <c r="B127" s="44" t="n"/>
      <c r="C127" s="44" t="n"/>
      <c r="D127" s="44" t="inlineStr">
        <is>
          <t>Đinh Văn Hải</t>
        </is>
      </c>
      <c r="E127" s="48" t="inlineStr">
        <is>
          <t>0904268783</t>
        </is>
      </c>
      <c r="F127" s="68" t="n">
        <v>10</v>
      </c>
      <c r="G127" s="68" t="n">
        <v>3</v>
      </c>
      <c r="H127" s="44" t="n">
        <v>2006</v>
      </c>
      <c r="I127" s="69" t="inlineStr">
        <is>
          <t>993479978</t>
        </is>
      </c>
      <c r="J127" s="70" t="inlineStr">
        <is>
          <t>999911940104</t>
        </is>
      </c>
      <c r="K127" s="56" t="inlineStr">
        <is>
          <t>Lao động tự do</t>
        </is>
      </c>
      <c r="L127" s="44" t="inlineStr">
        <is>
          <t>Người thu nhập thấp tại khu vực đô thị</t>
        </is>
      </c>
      <c r="M127" s="44" t="inlineStr">
        <is>
          <t>Công an Phường Võ Cường</t>
        </is>
      </c>
      <c r="N127" s="44" t="inlineStr">
        <is>
          <t>Chưa có nhà ở thuộc sở hữu của hộ gia đình</t>
        </is>
      </c>
      <c r="O127" s="44" t="inlineStr">
        <is>
          <t>Bắc Ninh</t>
        </is>
      </c>
      <c r="P127" s="44" t="n"/>
      <c r="Q127" s="44" t="inlineStr">
        <is>
          <t>Võ Cường</t>
        </is>
      </c>
      <c r="R127" s="44" t="inlineStr">
        <is>
          <t>Có thu nhập bình quân hàng tháng thực nhận không quá 25 triệu đồng</t>
        </is>
      </c>
      <c r="S127" s="44" t="inlineStr">
        <is>
          <t>Chủ hộ</t>
        </is>
      </c>
      <c r="T127" s="44" t="inlineStr">
        <is>
          <t>CTS-S-0711</t>
        </is>
      </c>
      <c r="U127" s="47" t="inlineStr">
        <is>
          <t>69.80</t>
        </is>
      </c>
    </row>
    <row r="128" ht="51" customHeight="1">
      <c r="A128" s="44" t="n">
        <v>80</v>
      </c>
      <c r="B128" s="44" t="n"/>
      <c r="C128" s="44" t="n"/>
      <c r="D128" s="44" t="inlineStr">
        <is>
          <t>Đỗ Công Long</t>
        </is>
      </c>
      <c r="E128" s="48" t="inlineStr">
        <is>
          <t>0992994869</t>
        </is>
      </c>
      <c r="F128" s="68" t="n">
        <v>28</v>
      </c>
      <c r="G128" s="68" t="n">
        <v>1</v>
      </c>
      <c r="H128" s="44" t="n">
        <v>1982</v>
      </c>
      <c r="I128" s="69" t="inlineStr">
        <is>
          <t>997180802</t>
        </is>
      </c>
      <c r="J128" s="70" t="inlineStr">
        <is>
          <t>999825051867</t>
        </is>
      </c>
      <c r="K128" s="56" t="inlineStr">
        <is>
          <t>Người lao động làm việc tại doanh nghiệp</t>
        </is>
      </c>
      <c r="L128" s="44" t="inlineStr">
        <is>
          <t>Người lao động đang làm việc tại các doanh nghiệp trong và ngoài khu công nghiệp</t>
        </is>
      </c>
      <c r="M128" s="44" t="inlineStr">
        <is>
          <t>Công ty TNHH đầu tư thiết kế xây dựng và thương mại Bình An</t>
        </is>
      </c>
      <c r="N128" s="44" t="inlineStr">
        <is>
          <t>Chưa có nhà ở thuộc sở hữu của hộ gia đình</t>
        </is>
      </c>
      <c r="O128" s="44" t="inlineStr">
        <is>
          <t>Bắc Ninh</t>
        </is>
      </c>
      <c r="P128" s="44" t="n"/>
      <c r="Q128" s="44" t="inlineStr">
        <is>
          <t>Hiệp Hòa</t>
        </is>
      </c>
      <c r="R128" s="44" t="inlineStr">
        <is>
          <t>Có thu nhập bình quân hàng tháng thực nhận không quá 50 triệu đồng</t>
        </is>
      </c>
      <c r="S128" s="44" t="inlineStr">
        <is>
          <t>Chủ hộ</t>
        </is>
      </c>
      <c r="T128" s="44" t="inlineStr">
        <is>
          <t>CTS-S-0801</t>
        </is>
      </c>
      <c r="U128" s="47" t="inlineStr">
        <is>
          <t>69.50</t>
        </is>
      </c>
    </row>
    <row r="129" ht="51" customHeight="1">
      <c r="A129" s="65" t="n"/>
      <c r="B129" s="44" t="n"/>
      <c r="C129" s="44" t="n"/>
      <c r="D129" s="44" t="inlineStr">
        <is>
          <t>Ngô Thanh Hà</t>
        </is>
      </c>
      <c r="E129" s="65" t="n"/>
      <c r="F129" s="68" t="n">
        <v>25</v>
      </c>
      <c r="G129" s="68" t="n">
        <v>8</v>
      </c>
      <c r="H129" s="44" t="n">
        <v>1986</v>
      </c>
      <c r="I129" s="69" t="inlineStr">
        <is>
          <t>998399949</t>
        </is>
      </c>
      <c r="J129" s="70" t="inlineStr">
        <is>
          <t>999457476282</t>
        </is>
      </c>
      <c r="K129" s="56" t="inlineStr">
        <is>
          <t>Cán bộ, công chức, viên chức</t>
        </is>
      </c>
      <c r="L129" s="44" t="inlineStr">
        <is>
          <t>Cán bộ, công chức, viên chức theo quy định của pháp luật về cán bộ, công chức, viên chức</t>
        </is>
      </c>
      <c r="M129" s="44" t="inlineStr">
        <is>
          <t>Trường mầm non Hiệp Hòa số 3</t>
        </is>
      </c>
      <c r="N129" s="65" t="n"/>
      <c r="O129" s="65" t="n"/>
      <c r="P129" s="44" t="n"/>
      <c r="Q129" s="65" t="n"/>
      <c r="R129" s="65" t="n"/>
      <c r="S129" s="44" t="inlineStr">
        <is>
          <t>Vợ (Chồng)</t>
        </is>
      </c>
      <c r="T129" s="65" t="n"/>
      <c r="U129" s="65" t="n"/>
    </row>
    <row r="130" ht="51" customHeight="1">
      <c r="A130" s="44" t="n">
        <v>81</v>
      </c>
      <c r="B130" s="44" t="n"/>
      <c r="C130" s="44" t="n"/>
      <c r="D130" s="44" t="inlineStr">
        <is>
          <t>Đỗ Văn Việt</t>
        </is>
      </c>
      <c r="E130" s="48" t="inlineStr">
        <is>
          <t>0951624314</t>
        </is>
      </c>
      <c r="F130" s="68" t="n">
        <v>22</v>
      </c>
      <c r="G130" s="68" t="n">
        <v>10</v>
      </c>
      <c r="H130" s="44" t="n">
        <v>1994</v>
      </c>
      <c r="I130" s="69" t="inlineStr">
        <is>
          <t>996772633</t>
        </is>
      </c>
      <c r="J130" s="70" t="inlineStr">
        <is>
          <t>999675985654</t>
        </is>
      </c>
      <c r="K130" s="56" t="inlineStr">
        <is>
          <t>Người lao động làm việc tại doanh nghiệp</t>
        </is>
      </c>
      <c r="L130" s="44" t="inlineStr">
        <is>
          <t>Người lao động đang làm việc tại các doanh nghiệp trong và ngoài khu công nghiệp</t>
        </is>
      </c>
      <c r="M130" s="44" t="inlineStr">
        <is>
          <t>Công ty TNHH Công nghệ in phun nhận dạng YI HUI Việt Nam</t>
        </is>
      </c>
      <c r="N130" s="44" t="inlineStr">
        <is>
          <t>Chưa có nhà ở thuộc sở hữu của hộ gia đình</t>
        </is>
      </c>
      <c r="O130" s="44" t="inlineStr">
        <is>
          <t>Bắc Ninh</t>
        </is>
      </c>
      <c r="P130" s="44" t="n"/>
      <c r="Q130" s="44" t="inlineStr">
        <is>
          <t>Hạp Lĩnh</t>
        </is>
      </c>
      <c r="R130" s="44" t="inlineStr">
        <is>
          <t>Có thu nhập bình quân hàng tháng thực nhận không quá 50 triệu đồng</t>
        </is>
      </c>
      <c r="S130" s="44" t="inlineStr">
        <is>
          <t>Chủ hộ</t>
        </is>
      </c>
      <c r="T130" s="44" t="inlineStr">
        <is>
          <t>CTS-S-0803</t>
        </is>
      </c>
      <c r="U130" s="47" t="inlineStr">
        <is>
          <t>69.50</t>
        </is>
      </c>
    </row>
    <row r="131" ht="51" customHeight="1">
      <c r="A131" s="65" t="n"/>
      <c r="B131" s="44" t="n"/>
      <c r="C131" s="44" t="n"/>
      <c r="D131" s="44" t="inlineStr">
        <is>
          <t>Dương Phương Yến</t>
        </is>
      </c>
      <c r="E131" s="65" t="n"/>
      <c r="F131" s="68" t="n">
        <v>22</v>
      </c>
      <c r="G131" s="68" t="n">
        <v>6</v>
      </c>
      <c r="H131" s="44" t="n">
        <v>1997</v>
      </c>
      <c r="I131" s="69" t="inlineStr">
        <is>
          <t>993610813</t>
        </is>
      </c>
      <c r="J131" s="70" t="inlineStr">
        <is>
          <t>999813139203</t>
        </is>
      </c>
      <c r="K131" s="56" t="inlineStr">
        <is>
          <t>Người lao động làm việc tại doanh nghiệp</t>
        </is>
      </c>
      <c r="L131" s="44" t="inlineStr">
        <is>
          <t>Người lao động đang làm việc tại các doanh nghiệp trong và ngoài khu công nghiệp</t>
        </is>
      </c>
      <c r="M131" s="44" t="inlineStr">
        <is>
          <t>Công ty TNHH Công nghệ in phun nhận dạng YI HUI Việt Nam</t>
        </is>
      </c>
      <c r="N131" s="65" t="n"/>
      <c r="O131" s="65" t="n"/>
      <c r="P131" s="44" t="n"/>
      <c r="Q131" s="65" t="n"/>
      <c r="R131" s="65" t="n"/>
      <c r="S131" s="44" t="inlineStr">
        <is>
          <t>Vợ (Chồng)</t>
        </is>
      </c>
      <c r="T131" s="65" t="n"/>
      <c r="U131" s="65" t="n"/>
    </row>
    <row r="132" ht="51" customHeight="1">
      <c r="A132" s="44">
        <f>IF(T132="","",MAX($A$3:A131)+1)</f>
        <v/>
      </c>
      <c r="B132" s="44" t="n"/>
      <c r="C132" s="44" t="n"/>
      <c r="D132" s="44" t="inlineStr">
        <is>
          <t>Mai Xuân Dũng</t>
        </is>
      </c>
      <c r="E132" s="48" t="inlineStr">
        <is>
          <t>0903423575</t>
        </is>
      </c>
      <c r="F132" s="68" t="n">
        <v>9</v>
      </c>
      <c r="G132" s="68" t="n">
        <v>9</v>
      </c>
      <c r="H132" s="44" t="n">
        <v>1971</v>
      </c>
      <c r="I132" s="69" t="inlineStr">
        <is>
          <t>994704522</t>
        </is>
      </c>
      <c r="J132" s="70" t="inlineStr">
        <is>
          <t>999452857104</t>
        </is>
      </c>
      <c r="K132" s="56" t="inlineStr">
        <is>
          <t>Lao động tự do</t>
        </is>
      </c>
      <c r="L132" s="44" t="inlineStr">
        <is>
          <t>Người thu nhập thấp tại khu vực đô thị</t>
        </is>
      </c>
      <c r="M132" s="44" t="inlineStr">
        <is>
          <t>Công an Phường Ba Đình</t>
        </is>
      </c>
      <c r="N132" s="44" t="inlineStr">
        <is>
          <t>Chưa có nhà ở thuộc sở hữu của hộ gia đình</t>
        </is>
      </c>
      <c r="O132" s="44" t="inlineStr">
        <is>
          <t>Hà Nội</t>
        </is>
      </c>
      <c r="P132" s="44" t="n"/>
      <c r="Q132" s="44" t="inlineStr">
        <is>
          <t>Ba Đình</t>
        </is>
      </c>
      <c r="R132" s="44" t="inlineStr">
        <is>
          <t>Có thu nhập bình quân hàng tháng thực nhận không quá 50 triệu đồng</t>
        </is>
      </c>
      <c r="S132" s="44" t="inlineStr">
        <is>
          <t>Chủ hộ</t>
        </is>
      </c>
      <c r="T132" s="44" t="inlineStr">
        <is>
          <t>CTS-S-0817</t>
        </is>
      </c>
      <c r="U132" s="47" t="inlineStr">
        <is>
          <t>71.60</t>
        </is>
      </c>
    </row>
    <row r="133" ht="51" customHeight="1">
      <c r="A133" s="65" t="n"/>
      <c r="B133" s="44" t="n"/>
      <c r="C133" s="44" t="n"/>
      <c r="D133" s="44" t="inlineStr">
        <is>
          <t>Đinh Khánh Ngân</t>
        </is>
      </c>
      <c r="E133" s="65" t="n"/>
      <c r="F133" s="68" t="n">
        <v>10</v>
      </c>
      <c r="G133" s="68" t="n">
        <v>12</v>
      </c>
      <c r="H133" s="44" t="n">
        <v>1967</v>
      </c>
      <c r="I133" s="69" t="inlineStr">
        <is>
          <t>999151634</t>
        </is>
      </c>
      <c r="J133" s="70" t="inlineStr">
        <is>
          <t>999729923481</t>
        </is>
      </c>
      <c r="K133" s="56" t="inlineStr">
        <is>
          <t>Lao động tự do</t>
        </is>
      </c>
      <c r="L133" s="44" t="inlineStr">
        <is>
          <t>Người thu nhập thấp tại khu vực đô thị</t>
        </is>
      </c>
      <c r="M133" s="44" t="inlineStr">
        <is>
          <t>Công an Phường Ba Đình</t>
        </is>
      </c>
      <c r="N133" s="65" t="n"/>
      <c r="O133" s="65" t="n"/>
      <c r="P133" s="44" t="n"/>
      <c r="Q133" s="65" t="n"/>
      <c r="R133" s="65" t="n"/>
      <c r="S133" s="44" t="inlineStr">
        <is>
          <t>Vợ (Chồng)</t>
        </is>
      </c>
      <c r="T133" s="65" t="n"/>
      <c r="U133" s="65" t="n"/>
    </row>
    <row r="134" ht="51" customHeight="1">
      <c r="A134" s="44">
        <f>IF(T134="","",MAX($A$3:A133)+1)</f>
        <v/>
      </c>
      <c r="B134" s="44" t="n"/>
      <c r="C134" s="44" t="n"/>
      <c r="D134" s="44" t="inlineStr">
        <is>
          <t>Vũ Công Bình</t>
        </is>
      </c>
      <c r="E134" s="48" t="inlineStr">
        <is>
          <t>0901433637</t>
        </is>
      </c>
      <c r="F134" s="68" t="n">
        <v>17</v>
      </c>
      <c r="G134" s="68" t="n">
        <v>11</v>
      </c>
      <c r="H134" s="44" t="n">
        <v>2005</v>
      </c>
      <c r="I134" s="69" t="n"/>
      <c r="J134" s="70" t="inlineStr">
        <is>
          <t>999202061305</t>
        </is>
      </c>
      <c r="K134" s="56" t="inlineStr">
        <is>
          <t>Người lao động làm việc tại doanh nghiệp</t>
        </is>
      </c>
      <c r="L134" s="44" t="inlineStr">
        <is>
          <t>Người lao động đang làm việc tại các doanh nghiệp trong và ngoài khu công nghiệp</t>
        </is>
      </c>
      <c r="M134" s="44" t="inlineStr">
        <is>
          <t>Công ty TNHH Phát triển Thương mại và Truyền thông Minh Vũ</t>
        </is>
      </c>
      <c r="N134" s="44" t="inlineStr">
        <is>
          <t>Chưa có nhà ở thuộc sở hữu của hộ gia đình</t>
        </is>
      </c>
      <c r="O134" s="44" t="inlineStr">
        <is>
          <t>Hưng Yên</t>
        </is>
      </c>
      <c r="P134" s="44" t="n"/>
      <c r="Q134" s="44" t="inlineStr">
        <is>
          <t>Chí Minh</t>
        </is>
      </c>
      <c r="R134" s="44" t="inlineStr">
        <is>
          <t>Có thu nhập bình quân hàng tháng thực nhận không quá 25 triệu đồng</t>
        </is>
      </c>
      <c r="S134" s="44" t="inlineStr">
        <is>
          <t>Chủ hộ</t>
        </is>
      </c>
      <c r="T134" s="44" t="inlineStr">
        <is>
          <t>CTS-T-0401</t>
        </is>
      </c>
      <c r="U134" s="47" t="inlineStr">
        <is>
          <t>68.50</t>
        </is>
      </c>
    </row>
    <row r="135" ht="51" customHeight="1">
      <c r="A135" s="44">
        <f>IF(T135="","",MAX($A$3:A134)+1)</f>
        <v/>
      </c>
      <c r="B135" s="44" t="n"/>
      <c r="C135" s="44" t="n"/>
      <c r="D135" s="44" t="inlineStr">
        <is>
          <t>Vũ Công Quân</t>
        </is>
      </c>
      <c r="E135" s="48" t="inlineStr">
        <is>
          <t>0983586135</t>
        </is>
      </c>
      <c r="F135" s="68" t="n">
        <v>15</v>
      </c>
      <c r="G135" s="68" t="n">
        <v>12</v>
      </c>
      <c r="H135" s="44" t="n">
        <v>1994</v>
      </c>
      <c r="I135" s="69" t="inlineStr">
        <is>
          <t>990411674</t>
        </is>
      </c>
      <c r="J135" s="70" t="inlineStr">
        <is>
          <t>999958822094</t>
        </is>
      </c>
      <c r="K135" s="56" t="inlineStr">
        <is>
          <t>Người lao động làm việc tại doanh nghiệp</t>
        </is>
      </c>
      <c r="L135" s="44" t="inlineStr">
        <is>
          <t>Người lao động đang làm việc tại các doanh nghiệp trong và ngoài khu công nghiệp</t>
        </is>
      </c>
      <c r="M135" s="44" t="inlineStr">
        <is>
          <t>Công ty TNHH Samsung Display Việt Nam</t>
        </is>
      </c>
      <c r="N135" s="44" t="inlineStr">
        <is>
          <t>Chưa có nhà ở thuộc sở hữu của hộ gia đình</t>
        </is>
      </c>
      <c r="O135" s="44" t="inlineStr">
        <is>
          <t>Bắc Ninh</t>
        </is>
      </c>
      <c r="P135" s="44" t="n"/>
      <c r="Q135" s="44" t="inlineStr">
        <is>
          <t>Yên Trung</t>
        </is>
      </c>
      <c r="R135" s="44" t="inlineStr">
        <is>
          <t>Có thu nhập bình quân hàng tháng thực nhận không quá 50 triệu đồng</t>
        </is>
      </c>
      <c r="S135" s="44" t="inlineStr">
        <is>
          <t>Chủ hộ</t>
        </is>
      </c>
      <c r="T135" s="44" t="inlineStr">
        <is>
          <t>CTS-T-0703</t>
        </is>
      </c>
      <c r="U135" s="47" t="inlineStr">
        <is>
          <t>51.00</t>
        </is>
      </c>
    </row>
    <row r="136" ht="51" customHeight="1">
      <c r="A136" s="65" t="n"/>
      <c r="B136" s="44" t="n"/>
      <c r="C136" s="44" t="n"/>
      <c r="D136" s="44" t="inlineStr">
        <is>
          <t>Mai Ngọc Thảo</t>
        </is>
      </c>
      <c r="E136" s="65" t="n"/>
      <c r="F136" s="68" t="n">
        <v>16</v>
      </c>
      <c r="G136" s="68" t="n">
        <v>12</v>
      </c>
      <c r="H136" s="44" t="n">
        <v>1999</v>
      </c>
      <c r="I136" s="69" t="n"/>
      <c r="J136" s="70" t="inlineStr">
        <is>
          <t>999091547902</t>
        </is>
      </c>
      <c r="K136" s="56" t="inlineStr">
        <is>
          <t>Người lao động làm việc tại doanh nghiệp</t>
        </is>
      </c>
      <c r="L136" s="44" t="inlineStr">
        <is>
          <t>Người lao động đang làm việc tại các doanh nghiệp trong và ngoài khu công nghiệp</t>
        </is>
      </c>
      <c r="M136" s="44" t="inlineStr">
        <is>
          <t>Công ty TNHH Samsung Display Việt Nam</t>
        </is>
      </c>
      <c r="N136" s="65" t="n"/>
      <c r="O136" s="65" t="n"/>
      <c r="P136" s="44" t="n"/>
      <c r="Q136" s="65" t="n"/>
      <c r="R136" s="65" t="n"/>
      <c r="S136" s="44" t="inlineStr">
        <is>
          <t>Vợ (Chồng)</t>
        </is>
      </c>
      <c r="T136" s="65" t="n"/>
      <c r="U136" s="65" t="n"/>
    </row>
    <row r="137" ht="51" customHeight="1">
      <c r="A137" s="44" t="n">
        <v>85</v>
      </c>
      <c r="B137" s="44" t="n"/>
      <c r="C137" s="44" t="n"/>
      <c r="D137" s="44" t="inlineStr">
        <is>
          <t>Hoàng Công Long</t>
        </is>
      </c>
      <c r="E137" s="48" t="inlineStr">
        <is>
          <t>0993670577</t>
        </is>
      </c>
      <c r="F137" s="68" t="n">
        <v>15</v>
      </c>
      <c r="G137" s="68" t="n">
        <v>9</v>
      </c>
      <c r="H137" s="44" t="n">
        <v>1991</v>
      </c>
      <c r="I137" s="69" t="inlineStr">
        <is>
          <t>993982407</t>
        </is>
      </c>
      <c r="J137" s="70" t="inlineStr">
        <is>
          <t>999006484758</t>
        </is>
      </c>
      <c r="K137" s="56" t="inlineStr">
        <is>
          <t>Người lao động làm việc tại doanh nghiệp</t>
        </is>
      </c>
      <c r="L137" s="44" t="inlineStr">
        <is>
          <t>Người lao động đang làm việc tại các doanh nghiệp trong và ngoài khu công nghiệp</t>
        </is>
      </c>
      <c r="M137" s="44" t="inlineStr">
        <is>
          <t>Công ty TNHH Samsung Display Việt Nam</t>
        </is>
      </c>
      <c r="N137" s="44" t="inlineStr">
        <is>
          <t>Chưa có nhà ở thuộc sở hữu của hộ gia đình</t>
        </is>
      </c>
      <c r="O137" s="44" t="inlineStr">
        <is>
          <t>Bắc Ninh</t>
        </is>
      </c>
      <c r="P137" s="44" t="n"/>
      <c r="Q137" s="44" t="inlineStr">
        <is>
          <t>Yên Phong</t>
        </is>
      </c>
      <c r="R137" s="44" t="inlineStr">
        <is>
          <t>Có thu nhập bình quân hàng tháng thực nhận không quá 50 triệu đồng</t>
        </is>
      </c>
      <c r="S137" s="44" t="inlineStr">
        <is>
          <t>Chủ hộ</t>
        </is>
      </c>
      <c r="T137" s="44" t="inlineStr">
        <is>
          <t>CTS-T-0806</t>
        </is>
      </c>
      <c r="U137" s="47" t="inlineStr">
        <is>
          <t>69.00</t>
        </is>
      </c>
    </row>
    <row r="138" ht="51" customHeight="1">
      <c r="A138" s="65" t="n"/>
      <c r="B138" s="44" t="n"/>
      <c r="C138" s="44" t="n"/>
      <c r="D138" s="44" t="inlineStr">
        <is>
          <t>Vũ Thu Ngân</t>
        </is>
      </c>
      <c r="E138" s="65" t="n"/>
      <c r="F138" s="68" t="n">
        <v>17</v>
      </c>
      <c r="G138" s="68" t="n">
        <v>4</v>
      </c>
      <c r="H138" s="44" t="n">
        <v>1998</v>
      </c>
      <c r="I138" s="69" t="inlineStr">
        <is>
          <t>994432776</t>
        </is>
      </c>
      <c r="J138" s="70" t="inlineStr">
        <is>
          <t>999372727533</t>
        </is>
      </c>
      <c r="K138" s="56" t="inlineStr">
        <is>
          <t>Người lao động làm việc tại doanh nghiệp</t>
        </is>
      </c>
      <c r="L138" s="44" t="inlineStr">
        <is>
          <t>Người lao động đang làm việc tại các doanh nghiệp trong và ngoài khu công nghiệp</t>
        </is>
      </c>
      <c r="M138" s="44" t="inlineStr">
        <is>
          <t>Công ty TNHH thiết bị điện Phương Phú</t>
        </is>
      </c>
      <c r="N138" s="65" t="n"/>
      <c r="O138" s="65" t="n"/>
      <c r="P138" s="44" t="n"/>
      <c r="Q138" s="65" t="n"/>
      <c r="R138" s="65" t="n"/>
      <c r="S138" s="44" t="inlineStr">
        <is>
          <t>Vợ (Chồng)</t>
        </is>
      </c>
      <c r="T138" s="65" t="n"/>
      <c r="U138" s="65" t="n"/>
    </row>
    <row r="139" ht="51" customHeight="1">
      <c r="A139" s="44" t="n">
        <v>86</v>
      </c>
      <c r="B139" s="44" t="n"/>
      <c r="C139" s="44" t="n"/>
      <c r="D139" s="44" t="inlineStr">
        <is>
          <t>Lý Thị Mai</t>
        </is>
      </c>
      <c r="E139" s="48" t="inlineStr">
        <is>
          <t>0942859570</t>
        </is>
      </c>
      <c r="F139" s="68" t="n">
        <v>10</v>
      </c>
      <c r="G139" s="68" t="n">
        <v>5</v>
      </c>
      <c r="H139" s="44" t="n">
        <v>1967</v>
      </c>
      <c r="I139" s="69" t="inlineStr">
        <is>
          <t>998015566</t>
        </is>
      </c>
      <c r="J139" s="70" t="inlineStr">
        <is>
          <t>999918972384</t>
        </is>
      </c>
      <c r="K139" s="56" t="inlineStr">
        <is>
          <t>Lao động tự do</t>
        </is>
      </c>
      <c r="L139" s="44" t="inlineStr">
        <is>
          <t>Người thu nhập thấp tại khu vực đô thị</t>
        </is>
      </c>
      <c r="M139" s="44" t="inlineStr">
        <is>
          <t>Công an Phường Trần Lãm</t>
        </is>
      </c>
      <c r="N139" s="44" t="inlineStr">
        <is>
          <t>Chưa có nhà ở thuộc sở hữu của hộ gia đình</t>
        </is>
      </c>
      <c r="O139" s="44" t="inlineStr">
        <is>
          <t>Hưng Yên</t>
        </is>
      </c>
      <c r="P139" s="44" t="n"/>
      <c r="Q139" s="44" t="inlineStr">
        <is>
          <t>Trần Lãm</t>
        </is>
      </c>
      <c r="R139" s="44" t="inlineStr">
        <is>
          <t>Có thu nhập bình quân hàng tháng thực nhận không quá 50 triệu đồng</t>
        </is>
      </c>
      <c r="S139" s="44" t="inlineStr">
        <is>
          <t>Chủ hộ</t>
        </is>
      </c>
      <c r="T139" s="44" t="inlineStr">
        <is>
          <t>CTS-T-0811</t>
        </is>
      </c>
      <c r="U139" s="47" t="inlineStr">
        <is>
          <t>69.00</t>
        </is>
      </c>
    </row>
    <row r="140" ht="51" customHeight="1">
      <c r="A140" s="65" t="n"/>
      <c r="B140" s="44" t="n"/>
      <c r="C140" s="44" t="n"/>
      <c r="D140" s="44" t="inlineStr">
        <is>
          <t>Phạm Thu Yến</t>
        </is>
      </c>
      <c r="E140" s="65" t="n"/>
      <c r="F140" s="68" t="n">
        <v>16</v>
      </c>
      <c r="G140" s="68" t="n">
        <v>1</v>
      </c>
      <c r="H140" s="44" t="n">
        <v>1964</v>
      </c>
      <c r="I140" s="69" t="inlineStr">
        <is>
          <t>990395036</t>
        </is>
      </c>
      <c r="J140" s="70" t="inlineStr">
        <is>
          <t>999614139093</t>
        </is>
      </c>
      <c r="K140" s="56" t="inlineStr">
        <is>
          <t>Lao động tự do</t>
        </is>
      </c>
      <c r="L140" s="44" t="inlineStr">
        <is>
          <t>Người thu nhập thấp tại khu vực đô thị</t>
        </is>
      </c>
      <c r="M140" s="44" t="inlineStr">
        <is>
          <t>Công an Phường Trần Lãm</t>
        </is>
      </c>
      <c r="N140" s="65" t="n"/>
      <c r="O140" s="65" t="n"/>
      <c r="P140" s="44" t="n"/>
      <c r="Q140" s="65" t="n"/>
      <c r="R140" s="65" t="n"/>
      <c r="S140" s="44" t="inlineStr">
        <is>
          <t>Vợ (Chồng)</t>
        </is>
      </c>
      <c r="T140" s="65" t="n"/>
      <c r="U140" s="65" t="n"/>
    </row>
    <row r="141" ht="51" customHeight="1">
      <c r="A141" s="44" t="n">
        <v>87</v>
      </c>
      <c r="B141" s="44" t="n"/>
      <c r="C141" s="44" t="n"/>
      <c r="D141" s="44" t="inlineStr">
        <is>
          <t>Dương Thị Trang</t>
        </is>
      </c>
      <c r="E141" s="48" t="inlineStr">
        <is>
          <t>0951463131</t>
        </is>
      </c>
      <c r="F141" s="68" t="n">
        <v>13</v>
      </c>
      <c r="G141" s="68" t="n">
        <v>2</v>
      </c>
      <c r="H141" s="44" t="n">
        <v>1999</v>
      </c>
      <c r="I141" s="69" t="inlineStr">
        <is>
          <t>996574226</t>
        </is>
      </c>
      <c r="J141" s="70" t="inlineStr">
        <is>
          <t>999227162311</t>
        </is>
      </c>
      <c r="K141" s="56" t="inlineStr">
        <is>
          <t>Người lao động làm việc tại doanh nghiệp</t>
        </is>
      </c>
      <c r="L141" s="44" t="inlineStr">
        <is>
          <t>Người lao động đang làm việc tại các doanh nghiệp trong và ngoài khu công nghiệp</t>
        </is>
      </c>
      <c r="M141" s="44" t="inlineStr">
        <is>
          <t>Công ty TNHH Avery Dennison Ris Việt Nam</t>
        </is>
      </c>
      <c r="N141" s="44" t="inlineStr">
        <is>
          <t>Chưa có nhà ở thuộc sở hữu của hộ gia đình</t>
        </is>
      </c>
      <c r="O141" s="44" t="inlineStr">
        <is>
          <t>Bắc Ninh</t>
        </is>
      </c>
      <c r="P141" s="44" t="n"/>
      <c r="Q141" s="44" t="inlineStr">
        <is>
          <t>Yên Trung</t>
        </is>
      </c>
      <c r="R141" s="44" t="inlineStr">
        <is>
          <t>Có thu nhập bình quân hàng tháng thực nhận không quá 50 triệu đồng</t>
        </is>
      </c>
      <c r="S141" s="44" t="inlineStr">
        <is>
          <t>Chủ hộ</t>
        </is>
      </c>
      <c r="T141" s="44" t="inlineStr">
        <is>
          <t>CTS-T-0901</t>
        </is>
      </c>
      <c r="U141" s="47" t="inlineStr">
        <is>
          <t>68.50</t>
        </is>
      </c>
    </row>
    <row r="142" ht="51" customHeight="1">
      <c r="A142" s="65" t="n"/>
      <c r="B142" s="44" t="n"/>
      <c r="C142" s="44" t="n"/>
      <c r="D142" s="44" t="inlineStr">
        <is>
          <t>Nguyễn Ngọc Hoa</t>
        </is>
      </c>
      <c r="E142" s="65" t="n"/>
      <c r="F142" s="68" t="n">
        <v>3</v>
      </c>
      <c r="G142" s="68" t="n">
        <v>2</v>
      </c>
      <c r="H142" s="44" t="n">
        <v>1997</v>
      </c>
      <c r="I142" s="74" t="inlineStr">
        <is>
          <t>996080782</t>
        </is>
      </c>
      <c r="J142" s="70" t="inlineStr">
        <is>
          <t>999779308420</t>
        </is>
      </c>
      <c r="K142" s="56" t="inlineStr">
        <is>
          <t>Người lao động làm việc tại doanh nghiệp</t>
        </is>
      </c>
      <c r="L142" s="44" t="inlineStr">
        <is>
          <t>Người lao động đang làm việc tại các doanh nghiệp trong và ngoài khu công nghiệp</t>
        </is>
      </c>
      <c r="M142" s="44" t="inlineStr">
        <is>
          <t>Công ty TNHH Up Working</t>
        </is>
      </c>
      <c r="N142" s="65" t="n"/>
      <c r="O142" s="65" t="n"/>
      <c r="P142" s="44" t="n"/>
      <c r="Q142" s="65" t="n"/>
      <c r="R142" s="65" t="n"/>
      <c r="S142" s="44" t="inlineStr">
        <is>
          <t>Vợ (Chồng)</t>
        </is>
      </c>
      <c r="T142" s="65" t="n"/>
      <c r="U142" s="65" t="n"/>
    </row>
    <row r="143" ht="45.75" customHeight="1"/>
    <row r="144" ht="45.75" customHeight="1"/>
    <row r="145" ht="45.75" customHeight="1"/>
    <row r="146" ht="45.75" customHeight="1"/>
    <row r="147" ht="45.75" customHeight="1"/>
    <row r="148" ht="45.75" customHeight="1"/>
    <row r="149" ht="45.75" customHeight="1"/>
    <row r="150" ht="45.75" customHeight="1"/>
    <row r="151" ht="45.75" customHeight="1"/>
    <row r="152" ht="45.75" customHeight="1"/>
    <row r="153" ht="45.75" customHeight="1"/>
    <row r="154" ht="45.75" customHeight="1"/>
    <row r="155" ht="45.75" customHeight="1"/>
    <row r="156" ht="45.75" customHeight="1"/>
    <row r="157" ht="45.75" customHeight="1"/>
    <row r="158" ht="45.75" customHeight="1"/>
    <row r="159" ht="45.75" customHeight="1"/>
    <row r="160" ht="45.75" customHeight="1"/>
    <row r="161" ht="45.75" customHeight="1"/>
    <row r="162" ht="45.75" customHeight="1"/>
    <row r="163" ht="45.75" customHeight="1"/>
    <row r="164" ht="45.75" customHeight="1"/>
    <row r="165" ht="45.75" customHeight="1"/>
    <row r="166" ht="45.75" customHeight="1"/>
    <row r="167" ht="45.75" customHeight="1"/>
    <row r="168" ht="45.75" customHeight="1"/>
  </sheetData>
  <autoFilter ref="A3:V142"/>
  <mergeCells count="434">
    <mergeCell ref="A137:A138"/>
    <mergeCell ref="R84:R85"/>
    <mergeCell ref="R28:R29"/>
    <mergeCell ref="O54:O55"/>
    <mergeCell ref="T50:T51"/>
    <mergeCell ref="U16:U17"/>
    <mergeCell ref="Q54:Q55"/>
    <mergeCell ref="R30:R31"/>
    <mergeCell ref="O56:O57"/>
    <mergeCell ref="T79:T80"/>
    <mergeCell ref="R33:R34"/>
    <mergeCell ref="O82:O83"/>
    <mergeCell ref="O9:O10"/>
    <mergeCell ref="E93:E94"/>
    <mergeCell ref="A1:U1"/>
    <mergeCell ref="A79:A80"/>
    <mergeCell ref="N66:N67"/>
    <mergeCell ref="T38:T39"/>
    <mergeCell ref="N41:N42"/>
    <mergeCell ref="U135:U136"/>
    <mergeCell ref="A45:A46"/>
    <mergeCell ref="O4:O5"/>
    <mergeCell ref="N130:N131"/>
    <mergeCell ref="N68:N69"/>
    <mergeCell ref="N105:N106"/>
    <mergeCell ref="N43:N44"/>
    <mergeCell ref="T132:T133"/>
    <mergeCell ref="E38:E39"/>
    <mergeCell ref="N132:N133"/>
    <mergeCell ref="A139:A140"/>
    <mergeCell ref="N107:N108"/>
    <mergeCell ref="A89:A90"/>
    <mergeCell ref="U103:U104"/>
    <mergeCell ref="R36:R37"/>
    <mergeCell ref="K2:K3"/>
    <mergeCell ref="R101:R102"/>
    <mergeCell ref="U24:U25"/>
    <mergeCell ref="E91:E92"/>
    <mergeCell ref="O91:O92"/>
    <mergeCell ref="U98:U99"/>
    <mergeCell ref="U19:U20"/>
    <mergeCell ref="Q121:Q122"/>
    <mergeCell ref="N54:N55"/>
    <mergeCell ref="Q115:Q116"/>
    <mergeCell ref="U50:U51"/>
    <mergeCell ref="O101:O102"/>
    <mergeCell ref="Q52:Q53"/>
    <mergeCell ref="N56:N57"/>
    <mergeCell ref="R7:R8"/>
    <mergeCell ref="A41:A42"/>
    <mergeCell ref="U45:U46"/>
    <mergeCell ref="E84:E85"/>
    <mergeCell ref="T71:T72"/>
    <mergeCell ref="Q4:Q5"/>
    <mergeCell ref="O75:O76"/>
    <mergeCell ref="U91:U92"/>
    <mergeCell ref="E28:E29"/>
    <mergeCell ref="E30:E31"/>
    <mergeCell ref="R50:R51"/>
    <mergeCell ref="N82:N83"/>
    <mergeCell ref="R115:R116"/>
    <mergeCell ref="T66:T67"/>
    <mergeCell ref="N9:N10"/>
    <mergeCell ref="R77:R78"/>
    <mergeCell ref="T77:T78"/>
    <mergeCell ref="O7:O8"/>
    <mergeCell ref="Q7:Q8"/>
    <mergeCell ref="N11:N12"/>
    <mergeCell ref="U38:U39"/>
    <mergeCell ref="N4:N5"/>
    <mergeCell ref="E112:E113"/>
    <mergeCell ref="O38:O39"/>
    <mergeCell ref="U96:U97"/>
    <mergeCell ref="N135:N136"/>
    <mergeCell ref="O130:O131"/>
    <mergeCell ref="A98:A99"/>
    <mergeCell ref="N110:N111"/>
    <mergeCell ref="O105:O106"/>
    <mergeCell ref="E43:E44"/>
    <mergeCell ref="E141:E142"/>
    <mergeCell ref="O132:O133"/>
    <mergeCell ref="R103:R104"/>
    <mergeCell ref="T103:T104"/>
    <mergeCell ref="O107:O108"/>
    <mergeCell ref="E107:E108"/>
    <mergeCell ref="Q58:Q59"/>
    <mergeCell ref="R24:R25"/>
    <mergeCell ref="A66:A67"/>
    <mergeCell ref="T61:T62"/>
    <mergeCell ref="Q137:Q138"/>
    <mergeCell ref="N128:N129"/>
    <mergeCell ref="U118:U119"/>
    <mergeCell ref="E61:E62"/>
    <mergeCell ref="E36:E37"/>
    <mergeCell ref="A47:A48"/>
    <mergeCell ref="A96:A97"/>
    <mergeCell ref="R121:R122"/>
    <mergeCell ref="E125:E126"/>
    <mergeCell ref="T115:T116"/>
    <mergeCell ref="T16:T17"/>
    <mergeCell ref="R58:R59"/>
    <mergeCell ref="R52:R53"/>
    <mergeCell ref="T52:T53"/>
    <mergeCell ref="T24:T25"/>
    <mergeCell ref="O28:O29"/>
    <mergeCell ref="Q28:Q29"/>
    <mergeCell ref="T141:T142"/>
    <mergeCell ref="Q71:Q72"/>
    <mergeCell ref="N141:N142"/>
    <mergeCell ref="N75:N76"/>
    <mergeCell ref="R118:R119"/>
    <mergeCell ref="T118:T119"/>
    <mergeCell ref="A16:A17"/>
    <mergeCell ref="T93:T94"/>
    <mergeCell ref="N93:N94"/>
    <mergeCell ref="U66:U67"/>
    <mergeCell ref="U41:U42"/>
    <mergeCell ref="U112:U113"/>
    <mergeCell ref="A91:A92"/>
    <mergeCell ref="U130:U131"/>
    <mergeCell ref="U68:U69"/>
    <mergeCell ref="T11:T12"/>
    <mergeCell ref="U43:U44"/>
    <mergeCell ref="R96:R97"/>
    <mergeCell ref="N38:N39"/>
    <mergeCell ref="R71:R72"/>
    <mergeCell ref="T96:T97"/>
    <mergeCell ref="U132:U133"/>
    <mergeCell ref="O135:O136"/>
    <mergeCell ref="T75:T76"/>
    <mergeCell ref="E50:E51"/>
    <mergeCell ref="O110:O111"/>
    <mergeCell ref="E115:E116"/>
    <mergeCell ref="Q110:Q111"/>
    <mergeCell ref="T98:T99"/>
    <mergeCell ref="T91:T92"/>
    <mergeCell ref="U61:U62"/>
    <mergeCell ref="E4:E5"/>
    <mergeCell ref="N2:N3"/>
    <mergeCell ref="O36:O37"/>
    <mergeCell ref="F2:F3"/>
    <mergeCell ref="O30:O31"/>
    <mergeCell ref="U125:U126"/>
    <mergeCell ref="H2:H3"/>
    <mergeCell ref="E128:E129"/>
    <mergeCell ref="T9:T10"/>
    <mergeCell ref="O128:O129"/>
    <mergeCell ref="Q79:Q80"/>
    <mergeCell ref="E103:E104"/>
    <mergeCell ref="U56:U57"/>
    <mergeCell ref="T2:U2"/>
    <mergeCell ref="N84:N85"/>
    <mergeCell ref="N28:N29"/>
    <mergeCell ref="Q89:Q90"/>
    <mergeCell ref="Q16:Q17"/>
    <mergeCell ref="A130:A131"/>
    <mergeCell ref="U89:U90"/>
    <mergeCell ref="A19:A20"/>
    <mergeCell ref="A68:A69"/>
    <mergeCell ref="A43:A44"/>
    <mergeCell ref="N30:N31"/>
    <mergeCell ref="U82:U83"/>
    <mergeCell ref="N79:N80"/>
    <mergeCell ref="E121:E122"/>
    <mergeCell ref="U9:U10"/>
    <mergeCell ref="R79:R80"/>
    <mergeCell ref="Q107:Q108"/>
    <mergeCell ref="A107:A108"/>
    <mergeCell ref="E58:E59"/>
    <mergeCell ref="E52:E53"/>
    <mergeCell ref="T45:T46"/>
    <mergeCell ref="U11:U12"/>
    <mergeCell ref="R137:R138"/>
    <mergeCell ref="T137:T138"/>
    <mergeCell ref="T112:T113"/>
    <mergeCell ref="N112:N113"/>
    <mergeCell ref="R139:R140"/>
    <mergeCell ref="T68:T69"/>
    <mergeCell ref="T139:T140"/>
    <mergeCell ref="N33:N34"/>
    <mergeCell ref="E118:E119"/>
    <mergeCell ref="Q19:Q20"/>
    <mergeCell ref="E7:E8"/>
    <mergeCell ref="T19:T20"/>
    <mergeCell ref="U128:U129"/>
    <mergeCell ref="E71:E72"/>
    <mergeCell ref="R61:R62"/>
    <mergeCell ref="A38:A39"/>
    <mergeCell ref="T33:T34"/>
    <mergeCell ref="N36:N37"/>
    <mergeCell ref="G2:G3"/>
    <mergeCell ref="N101:N102"/>
    <mergeCell ref="Q24:Q25"/>
    <mergeCell ref="T125:T126"/>
    <mergeCell ref="N125:N126"/>
    <mergeCell ref="A132:A133"/>
    <mergeCell ref="Q96:Q97"/>
    <mergeCell ref="E33:E34"/>
    <mergeCell ref="U77:U78"/>
    <mergeCell ref="U141:U142"/>
    <mergeCell ref="O84:O85"/>
    <mergeCell ref="U75:U76"/>
    <mergeCell ref="O50:O51"/>
    <mergeCell ref="R89:R90"/>
    <mergeCell ref="A135:A136"/>
    <mergeCell ref="Q50:Q51"/>
    <mergeCell ref="T89:T90"/>
    <mergeCell ref="E110:E111"/>
    <mergeCell ref="O52:O53"/>
    <mergeCell ref="O79:O80"/>
    <mergeCell ref="Q45:Q46"/>
    <mergeCell ref="Q91:Q92"/>
    <mergeCell ref="A28:A29"/>
    <mergeCell ref="Q47:Q48"/>
    <mergeCell ref="Q139:Q140"/>
    <mergeCell ref="A82:A83"/>
    <mergeCell ref="A30:A31"/>
    <mergeCell ref="A128:A129"/>
    <mergeCell ref="N115:N116"/>
    <mergeCell ref="E79:E80"/>
    <mergeCell ref="N77:N78"/>
    <mergeCell ref="E137:E138"/>
    <mergeCell ref="Q38:Q39"/>
    <mergeCell ref="R135:R136"/>
    <mergeCell ref="T135:T136"/>
    <mergeCell ref="E89:E90"/>
    <mergeCell ref="T128:T129"/>
    <mergeCell ref="E105:E106"/>
    <mergeCell ref="A141:A142"/>
    <mergeCell ref="N103:N104"/>
    <mergeCell ref="U33:U34"/>
    <mergeCell ref="U93:U94"/>
    <mergeCell ref="N24:N25"/>
    <mergeCell ref="O58:O59"/>
    <mergeCell ref="E101:E102"/>
    <mergeCell ref="U84:U85"/>
    <mergeCell ref="R82:R83"/>
    <mergeCell ref="T82:T83"/>
    <mergeCell ref="R98:R99"/>
    <mergeCell ref="T54:T55"/>
    <mergeCell ref="R19:R20"/>
    <mergeCell ref="A61:A62"/>
    <mergeCell ref="U30:U31"/>
    <mergeCell ref="N50:N51"/>
    <mergeCell ref="N121:N122"/>
    <mergeCell ref="A54:A55"/>
    <mergeCell ref="N58:N59"/>
    <mergeCell ref="N52:N53"/>
    <mergeCell ref="A56:A57"/>
    <mergeCell ref="R45:R46"/>
    <mergeCell ref="O71:O72"/>
    <mergeCell ref="N118:N119"/>
    <mergeCell ref="R47:R48"/>
    <mergeCell ref="O66:O67"/>
    <mergeCell ref="O115:O116"/>
    <mergeCell ref="Q66:Q67"/>
    <mergeCell ref="A9:A10"/>
    <mergeCell ref="Q41:Q42"/>
    <mergeCell ref="O77:O78"/>
    <mergeCell ref="Q77:Q78"/>
    <mergeCell ref="O68:O69"/>
    <mergeCell ref="N7:N8"/>
    <mergeCell ref="Q130:Q131"/>
    <mergeCell ref="Q68:Q69"/>
    <mergeCell ref="A11:A12"/>
    <mergeCell ref="Q43:Q44"/>
    <mergeCell ref="O141:O142"/>
    <mergeCell ref="Q141:Q142"/>
    <mergeCell ref="A84:A85"/>
    <mergeCell ref="R38:R39"/>
    <mergeCell ref="U105:U106"/>
    <mergeCell ref="Q135:Q136"/>
    <mergeCell ref="I2:J2"/>
    <mergeCell ref="R16:R17"/>
    <mergeCell ref="A50:A51"/>
    <mergeCell ref="U36:U37"/>
    <mergeCell ref="U101:U102"/>
    <mergeCell ref="O103:O104"/>
    <mergeCell ref="R91:R92"/>
    <mergeCell ref="T84:T85"/>
    <mergeCell ref="R93:R94"/>
    <mergeCell ref="Q61:Q62"/>
    <mergeCell ref="A4:A5"/>
    <mergeCell ref="O11:O12"/>
    <mergeCell ref="Q98:Q99"/>
    <mergeCell ref="A112:A113"/>
    <mergeCell ref="Q125:Q126"/>
    <mergeCell ref="E139:E140"/>
    <mergeCell ref="U54:U55"/>
    <mergeCell ref="R9:R10"/>
    <mergeCell ref="A93:A94"/>
    <mergeCell ref="N139:N140"/>
    <mergeCell ref="Q56:Q57"/>
    <mergeCell ref="O121:O122"/>
    <mergeCell ref="R11:R12"/>
    <mergeCell ref="E96:E97"/>
    <mergeCell ref="R4:R5"/>
    <mergeCell ref="T4:T5"/>
    <mergeCell ref="E98:E99"/>
    <mergeCell ref="O24:O25"/>
    <mergeCell ref="E19:E20"/>
    <mergeCell ref="O16:O17"/>
    <mergeCell ref="N71:N72"/>
    <mergeCell ref="Q132:Q133"/>
    <mergeCell ref="Q103:Q104"/>
    <mergeCell ref="A75:A76"/>
    <mergeCell ref="Q82:Q83"/>
    <mergeCell ref="O118:O119"/>
    <mergeCell ref="Q9:Q10"/>
    <mergeCell ref="U107:U108"/>
    <mergeCell ref="Q118:Q119"/>
    <mergeCell ref="O93:O94"/>
    <mergeCell ref="O2:Q2"/>
    <mergeCell ref="A101:A102"/>
    <mergeCell ref="N137:N138"/>
    <mergeCell ref="R66:R67"/>
    <mergeCell ref="R41:R42"/>
    <mergeCell ref="R112:R113"/>
    <mergeCell ref="E45:E46"/>
    <mergeCell ref="U4:U5"/>
    <mergeCell ref="R130:R131"/>
    <mergeCell ref="R68:R69"/>
    <mergeCell ref="T130:T131"/>
    <mergeCell ref="R105:R106"/>
    <mergeCell ref="U110:U111"/>
    <mergeCell ref="R43:R44"/>
    <mergeCell ref="T105:T106"/>
    <mergeCell ref="E47:E48"/>
    <mergeCell ref="T43:T44"/>
    <mergeCell ref="O96:O97"/>
    <mergeCell ref="R132:R133"/>
    <mergeCell ref="R107:R108"/>
    <mergeCell ref="T36:T37"/>
    <mergeCell ref="T107:T108"/>
    <mergeCell ref="T101:T102"/>
    <mergeCell ref="O98:O99"/>
    <mergeCell ref="A7:A8"/>
    <mergeCell ref="A105:A106"/>
    <mergeCell ref="N61:N62"/>
    <mergeCell ref="A71:A72"/>
    <mergeCell ref="Q93:Q94"/>
    <mergeCell ref="A2:A3"/>
    <mergeCell ref="C2:C3"/>
    <mergeCell ref="R54:R55"/>
    <mergeCell ref="U121:U122"/>
    <mergeCell ref="E2:E3"/>
    <mergeCell ref="U115:U116"/>
    <mergeCell ref="R125:R126"/>
    <mergeCell ref="T41:T42"/>
    <mergeCell ref="U52:U53"/>
    <mergeCell ref="R56:R57"/>
    <mergeCell ref="A33:A34"/>
    <mergeCell ref="T56:T57"/>
    <mergeCell ref="T7:T8"/>
    <mergeCell ref="Q11:Q12"/>
    <mergeCell ref="A125:A126"/>
    <mergeCell ref="E41:E42"/>
    <mergeCell ref="A77:A78"/>
    <mergeCell ref="O19:O20"/>
    <mergeCell ref="Q75:Q76"/>
    <mergeCell ref="E135:E136"/>
    <mergeCell ref="N89:N90"/>
    <mergeCell ref="N16:N17"/>
    <mergeCell ref="A110:A111"/>
    <mergeCell ref="A103:A104"/>
    <mergeCell ref="O45:O46"/>
    <mergeCell ref="U7:U8"/>
    <mergeCell ref="O137:O138"/>
    <mergeCell ref="U47:U48"/>
    <mergeCell ref="O112:O113"/>
    <mergeCell ref="O47:O48"/>
    <mergeCell ref="O139:O140"/>
    <mergeCell ref="R110:R111"/>
    <mergeCell ref="E54:E55"/>
    <mergeCell ref="T110:T111"/>
    <mergeCell ref="O89:O90"/>
    <mergeCell ref="A121:A122"/>
    <mergeCell ref="U58:U59"/>
    <mergeCell ref="A115:A116"/>
    <mergeCell ref="E66:E67"/>
    <mergeCell ref="A52:A53"/>
    <mergeCell ref="T28:T29"/>
    <mergeCell ref="E130:E131"/>
    <mergeCell ref="E68:E69"/>
    <mergeCell ref="U137:U138"/>
    <mergeCell ref="S2:S3"/>
    <mergeCell ref="T30:T31"/>
    <mergeCell ref="R128:R129"/>
    <mergeCell ref="E132:E133"/>
    <mergeCell ref="U139:U140"/>
    <mergeCell ref="O33:O34"/>
    <mergeCell ref="E82:E83"/>
    <mergeCell ref="Q33:Q34"/>
    <mergeCell ref="A36:A37"/>
    <mergeCell ref="B2:B3"/>
    <mergeCell ref="O125:O126"/>
    <mergeCell ref="T121:T122"/>
    <mergeCell ref="D2:D3"/>
    <mergeCell ref="N96:N97"/>
    <mergeCell ref="T58:T59"/>
    <mergeCell ref="Q84:Q85"/>
    <mergeCell ref="N98:N99"/>
    <mergeCell ref="N19:N20"/>
    <mergeCell ref="U71:U72"/>
    <mergeCell ref="R141:R142"/>
    <mergeCell ref="R75:R76"/>
    <mergeCell ref="Q30:Q31"/>
    <mergeCell ref="E16:E17"/>
    <mergeCell ref="E56:E57"/>
    <mergeCell ref="A58:A59"/>
    <mergeCell ref="Q112:Q113"/>
    <mergeCell ref="N45:N46"/>
    <mergeCell ref="A24:A25"/>
    <mergeCell ref="T47:T48"/>
    <mergeCell ref="N47:N48"/>
    <mergeCell ref="M2:M3"/>
    <mergeCell ref="A118:A119"/>
    <mergeCell ref="E9:E10"/>
    <mergeCell ref="U28:U29"/>
    <mergeCell ref="O41:O42"/>
    <mergeCell ref="E77:E78"/>
    <mergeCell ref="E11:E12"/>
    <mergeCell ref="O43:O44"/>
    <mergeCell ref="Q105:Q106"/>
    <mergeCell ref="E75:E76"/>
    <mergeCell ref="O61:O62"/>
    <mergeCell ref="Q36:Q37"/>
    <mergeCell ref="R2:R3"/>
    <mergeCell ref="Q101:Q102"/>
    <mergeCell ref="L2:L3"/>
    <mergeCell ref="Q128:Q129"/>
    <mergeCell ref="U79:U80"/>
    <mergeCell ref="N91:N92"/>
    <mergeCell ref="E24:E25"/>
  </mergeCells>
  <pageMargins left="0.25" right="0.25" top="0.75" bottom="0.75" header="0.3" footer="0.3"/>
  <pageSetup orientation="landscape" paperSize="9" scale="46" fitToHeight="0" fitToWidth="0"/>
</worksheet>
</file>

<file path=xl/worksheets/sheet2.xml><?xml version="1.0" encoding="utf-8"?>
<worksheet xmlns="http://schemas.openxmlformats.org/spreadsheetml/2006/main">
  <sheetPr>
    <outlinePr summaryBelow="1" summaryRight="1"/>
    <pageSetUpPr/>
  </sheetPr>
  <dimension ref="A1:Q13"/>
  <sheetViews>
    <sheetView workbookViewId="0">
      <selection activeCell="E2" sqref="E2"/>
    </sheetView>
  </sheetViews>
  <sheetFormatPr baseColWidth="8" defaultRowHeight="36.6" customHeight="1"/>
  <cols>
    <col width="25.33203125" customWidth="1" min="1" max="9"/>
  </cols>
  <sheetData>
    <row r="1" ht="36.6" customHeight="1">
      <c r="A1" s="5" t="inlineStr">
        <is>
          <t>Hình thức đăng ký</t>
        </is>
      </c>
      <c r="B1" s="6" t="n"/>
      <c r="C1" s="5" t="inlineStr">
        <is>
          <t>Nghề nghiệp</t>
        </is>
      </c>
      <c r="D1" s="6" t="n"/>
      <c r="E1" s="5" t="inlineStr">
        <is>
          <t>Đối tượng được hưởng chính sách xã hội</t>
        </is>
      </c>
      <c r="G1" s="7" t="inlineStr">
        <is>
          <t>Điều kiện nhà ở</t>
        </is>
      </c>
      <c r="I1" s="5" t="inlineStr">
        <is>
          <t>Quan hệ với chủ hộ</t>
        </is>
      </c>
    </row>
    <row r="2" ht="36.6" customHeight="1">
      <c r="A2" s="6" t="inlineStr">
        <is>
          <t>Mua</t>
        </is>
      </c>
      <c r="B2" s="6" t="n"/>
      <c r="C2" s="6" t="inlineStr">
        <is>
          <t>Người có công với cách mạng</t>
        </is>
      </c>
      <c r="D2" s="6" t="n"/>
      <c r="E2" s="4" t="inlineStr">
        <is>
          <t>Người có công với cách mạng theo quy định của pháp luật về ưu đãi người có công với cách mạng</t>
        </is>
      </c>
      <c r="G2" s="1" t="inlineStr">
        <is>
          <t>Chưa có nhà ở thuộc sở hữu của hộ gia đình</t>
        </is>
      </c>
      <c r="I2" s="6" t="inlineStr">
        <is>
          <t>Chủ hộ</t>
        </is>
      </c>
      <c r="K2" s="10" t="inlineStr">
        <is>
          <t>Lưu ý: người nhập KHÔNG chỉnh sửa, thay đổi nội dung Sheet này; KHÔNG xóa sheet này</t>
        </is>
      </c>
      <c r="L2" s="10" t="n"/>
      <c r="M2" s="10" t="n"/>
      <c r="N2" s="10" t="n"/>
      <c r="O2" s="10" t="n"/>
      <c r="P2" s="10" t="n"/>
      <c r="Q2" s="10" t="n"/>
    </row>
    <row r="3" ht="36.6" customHeight="1">
      <c r="A3" s="6" t="inlineStr">
        <is>
          <t>Thuê</t>
        </is>
      </c>
      <c r="B3" s="6" t="n"/>
      <c r="C3" s="6" t="inlineStr">
        <is>
          <t>Lao động tự do</t>
        </is>
      </c>
      <c r="D3" s="6" t="n"/>
      <c r="E3" s="4" t="inlineStr">
        <is>
          <t>Người thu nhập thấp, hộ nghèo, cận nghèo tại khu vực đô thị</t>
        </is>
      </c>
      <c r="G3" s="1" t="inlineStr">
        <is>
          <t>Có nhà ở nhưng chật chội diện tích bình quân dưới 10m2 sàn/người</t>
        </is>
      </c>
      <c r="I3" s="6" t="inlineStr">
        <is>
          <t>Vợ (Chồng)</t>
        </is>
      </c>
      <c r="K3" s="10" t="n"/>
      <c r="L3" s="10" t="n"/>
      <c r="M3" s="10" t="n"/>
      <c r="N3" s="10" t="n"/>
      <c r="O3" s="10" t="n"/>
      <c r="P3" s="10" t="n"/>
      <c r="Q3" s="10" t="n"/>
    </row>
    <row r="4" ht="36.6" customHeight="1">
      <c r="A4" s="6" t="inlineStr">
        <is>
          <t>Thuê mua</t>
        </is>
      </c>
      <c r="B4" s="6" t="n"/>
      <c r="C4" s="6" t="inlineStr">
        <is>
          <t>Người lao động làm việc tại doanh nghiệp</t>
        </is>
      </c>
      <c r="D4" s="6" t="n"/>
      <c r="E4" s="4" t="inlineStr">
        <is>
          <t>Người lao động đang làm việc tại các doanh nghiệp trong và ngoài khu công nghiệp</t>
        </is>
      </c>
      <c r="G4" s="1" t="inlineStr">
        <is>
          <t>Có nhà ở nhưng nhà ở bị hư hỏng, dột nát (hư hỏng khung - tường, mái</t>
        </is>
      </c>
      <c r="I4" s="6" t="inlineStr">
        <is>
          <t>Con</t>
        </is>
      </c>
      <c r="K4" s="10" t="n"/>
      <c r="L4" s="10" t="n"/>
      <c r="M4" s="10" t="n"/>
      <c r="N4" s="10" t="n"/>
      <c r="O4" s="10" t="n"/>
      <c r="P4" s="10" t="n"/>
      <c r="Q4" s="10" t="n"/>
    </row>
    <row r="5" ht="61.5" customHeight="1">
      <c r="A5" s="6" t="n"/>
      <c r="B5" s="6" t="n"/>
      <c r="C5" s="6" t="inlineStr">
        <is>
          <t>Người làm việc trong quân nhân chuyên nghiệp, công an, quân đội nhân dân</t>
        </is>
      </c>
      <c r="D5" s="6" t="n"/>
      <c r="E5" s="4" t="inlineStr">
        <is>
          <t>Sĩ quan, hạ sĩ quan nghiệp vụ, hạ sĩ quan chuyên môn kỹ thuật, quân nhân chuyên nghiệp, công nhân trong cơ quan, đơn vị thuộc công an nhân dân và quân đội nhân dân</t>
        </is>
      </c>
      <c r="G5" s="1" t="inlineStr">
        <is>
          <t>Có nhà ở nhưng đã bị hư hỏng khung, tường, mái nhà và diện tích khuôn viên đất của nhà ở thấp hơn tiêu chuẩn diện tích tối thiểu thuộc diện được phép cải tạo, xây dựng theo quy định của UBND cấp tỉnh</t>
        </is>
      </c>
      <c r="I5" s="6" t="inlineStr">
        <is>
          <t>Anh, chị, em</t>
        </is>
      </c>
      <c r="K5" s="10" t="n"/>
      <c r="L5" s="10" t="n"/>
      <c r="M5" s="10" t="n"/>
      <c r="N5" s="10" t="n"/>
      <c r="O5" s="10" t="n"/>
      <c r="P5" s="10" t="n"/>
      <c r="Q5" s="10" t="n"/>
    </row>
    <row r="6" ht="36.6" customHeight="1">
      <c r="B6" s="6" t="n"/>
      <c r="C6" s="6" t="inlineStr">
        <is>
          <t>Cán bộ, công chức, viên chức</t>
        </is>
      </c>
      <c r="D6" s="6" t="n"/>
      <c r="E6" s="4" t="inlineStr">
        <is>
          <t>Cán bộ, công chức, viên chức theo quy định của pháp luật về cán bộ, công chức, viên chức</t>
        </is>
      </c>
      <c r="G6" s="1" t="inlineStr">
        <is>
          <t>Có đất ở tại địa phương nơi đăng ký hộ khẩu thường trú và diện tích khuôn viên đất phù hợp với quy hoạch xây dựng theo quy định của UBND cấp tỉnh</t>
        </is>
      </c>
      <c r="I6" s="6" t="inlineStr">
        <is>
          <t>Cha (Mẹ)</t>
        </is>
      </c>
    </row>
    <row r="7" ht="36.6" customHeight="1">
      <c r="B7" s="6" t="n"/>
      <c r="C7" s="6" t="inlineStr">
        <is>
          <t>Học sinh, sinh viên</t>
        </is>
      </c>
      <c r="D7" s="6" t="n"/>
      <c r="E7" s="4" t="inlineStr">
        <is>
          <t>Các đối tượng đã trả lại nhà ở công vụ theo quy định tại khoản 5 Điều 81 của Luật Nhà ở</t>
        </is>
      </c>
      <c r="G7" s="1" t="inlineStr">
        <is>
          <t>Có nhà ở nhưng thuộc diện bị giải tỏa khi Nhà nước thu hồi đất</t>
        </is>
      </c>
      <c r="I7" s="6" t="inlineStr">
        <is>
          <t>Ông (Bà)</t>
        </is>
      </c>
    </row>
    <row r="8" ht="36.6" customHeight="1">
      <c r="B8" s="6" t="n"/>
      <c r="C8" s="6" t="n"/>
      <c r="D8" s="6" t="n"/>
      <c r="E8" s="4" t="inlineStr">
        <is>
          <t>Học sinh, sinh viên các học viện, trường đại học, cao đẳng, dạy nghề; học sinh trường dân tộc nội trú công lập được sử dụng nhà ở trong thời gian học tập</t>
        </is>
      </c>
      <c r="G8" s="1" t="inlineStr">
        <is>
          <t>Có nhà ở gắn liền với đất khi Nhà nước thu hồi phải di chuyển chỗ ở và không còn chỗ ở nào khác trên địa bàn xã, phường, thị trấn nơi có đất thu hồi mà chưa được bồi thường về nhà ở, đất ở tái định cư</t>
        </is>
      </c>
      <c r="I8" s="6" t="inlineStr">
        <is>
          <t>Cháu</t>
        </is>
      </c>
    </row>
    <row r="9" ht="36.6" customHeight="1">
      <c r="B9" s="6" t="n"/>
      <c r="C9" s="6" t="n"/>
      <c r="D9" s="6" t="n"/>
      <c r="E9" s="4" t="inlineStr">
        <is>
          <t xml:space="preserve"> Hộ gia đình, cá nhân thuộc diện bị thu hồi đất và phải giải tỏa, phá dỡ nhà ở theo quy định của pháp luật mà chưa được Nhà nước bồi thường bằng nhà ở, đất ở</t>
        </is>
      </c>
      <c r="G9" s="1" t="inlineStr">
        <is>
          <t>Khó khăn về nhà ở khác (ghi rõ nội dung)</t>
        </is>
      </c>
    </row>
    <row r="10" ht="36.6" customHeight="1">
      <c r="B10" s="6" t="n"/>
      <c r="C10" s="6" t="n"/>
      <c r="D10" s="6" t="n"/>
      <c r="E10" s="6" t="inlineStr">
        <is>
          <t>Đối tượng đã được nghỉ hưu theo chế độ</t>
        </is>
      </c>
    </row>
    <row r="11" ht="36.6" customHeight="1">
      <c r="B11" s="6" t="n"/>
      <c r="C11" s="6" t="n"/>
      <c r="D11" s="6" t="n"/>
      <c r="E11" s="6" t="n"/>
    </row>
    <row r="12" ht="36.6" customHeight="1">
      <c r="B12" s="6" t="n"/>
      <c r="C12" s="6" t="n"/>
      <c r="D12" s="6" t="n"/>
      <c r="E12" s="6" t="n"/>
    </row>
    <row r="13" ht="36.6" customHeight="1">
      <c r="B13" s="6" t="n"/>
      <c r="C13" s="6" t="n"/>
      <c r="D13" s="6" t="n"/>
      <c r="E13" s="6"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R22"/>
  <sheetViews>
    <sheetView workbookViewId="0">
      <selection activeCell="F1" sqref="F1"/>
    </sheetView>
  </sheetViews>
  <sheetFormatPr baseColWidth="8" defaultRowHeight="14.4"/>
  <sheetData>
    <row r="1" ht="409.5" customHeight="1">
      <c r="A1" s="2" t="inlineStr">
        <is>
          <t>Thành phố Bắc Ninh</t>
        </is>
      </c>
      <c r="B1" s="2" t="inlineStr">
        <is>
          <t>Thành phố Từ Sơn</t>
        </is>
      </c>
      <c r="C1" s="2" t="inlineStr">
        <is>
          <t>Huyện Yên Phong</t>
        </is>
      </c>
      <c r="D1" s="2" t="inlineStr">
        <is>
          <t>Huyện Quế Võ</t>
        </is>
      </c>
      <c r="E1" s="2" t="inlineStr">
        <is>
          <t>Huyện Tiên Du</t>
        </is>
      </c>
      <c r="F1" s="2" t="inlineStr">
        <is>
          <t>Huyện Thuận Thành</t>
        </is>
      </c>
      <c r="G1" s="2" t="inlineStr">
        <is>
          <t>Huyện Gia Bình</t>
        </is>
      </c>
      <c r="H1" s="2" t="inlineStr">
        <is>
          <t>Huyện Lương Tài</t>
        </is>
      </c>
      <c r="J1" s="2" t="inlineStr">
        <is>
          <t>Thành phố Bắc Ninh</t>
        </is>
      </c>
      <c r="L1" s="11" t="inlineStr">
        <is>
          <t>Lưu ý: người nhập KHÔNG chỉnh sửa, thay đổi nội dung Sheet này; KHÔNG xóa sheet này</t>
        </is>
      </c>
      <c r="M1" s="11" t="n"/>
      <c r="N1" s="11" t="n"/>
      <c r="O1" s="11" t="n"/>
      <c r="P1" s="11" t="n"/>
      <c r="Q1" s="11" t="n"/>
      <c r="R1" s="11" t="n"/>
    </row>
    <row r="2" ht="31.5" customHeight="1">
      <c r="A2" s="3" t="inlineStr">
        <is>
          <t>Phường Vũ Ninh</t>
        </is>
      </c>
      <c r="B2" s="3" t="inlineStr">
        <is>
          <t>Phường Đông Ngàn</t>
        </is>
      </c>
      <c r="C2" s="3" t="inlineStr">
        <is>
          <t>Thị trấn Chờ</t>
        </is>
      </c>
      <c r="D2" s="3" t="inlineStr">
        <is>
          <t>Thị trấn Phố Mới</t>
        </is>
      </c>
      <c r="E2" s="3" t="inlineStr">
        <is>
          <t>Thị trấn Lim</t>
        </is>
      </c>
      <c r="F2" s="3" t="inlineStr">
        <is>
          <t>Thị trấn Hồ</t>
        </is>
      </c>
      <c r="G2" s="3" t="inlineStr">
        <is>
          <t>Thị trấn Gia Bình</t>
        </is>
      </c>
      <c r="H2" s="3" t="inlineStr">
        <is>
          <t>Thị trấn Thứa</t>
        </is>
      </c>
      <c r="J2" s="2" t="inlineStr">
        <is>
          <t>Thành phố Từ Sơn</t>
        </is>
      </c>
      <c r="L2" s="11" t="n"/>
      <c r="M2" s="11" t="n"/>
      <c r="N2" s="11" t="n"/>
      <c r="O2" s="11" t="n"/>
      <c r="P2" s="11" t="n"/>
      <c r="Q2" s="11" t="n"/>
      <c r="R2" s="11" t="n"/>
    </row>
    <row r="3" ht="31.5" customHeight="1">
      <c r="A3" s="3" t="inlineStr">
        <is>
          <t>Phường Đáp Cầu</t>
        </is>
      </c>
      <c r="B3" s="3" t="inlineStr">
        <is>
          <t>Phường Tam Sơn</t>
        </is>
      </c>
      <c r="C3" s="3" t="inlineStr">
        <is>
          <t>Xã Dũng Liệt</t>
        </is>
      </c>
      <c r="D3" s="3" t="inlineStr">
        <is>
          <t>Xã Việt Thống</t>
        </is>
      </c>
      <c r="E3" s="3" t="inlineStr">
        <is>
          <t>Xã Phú Lâm</t>
        </is>
      </c>
      <c r="F3" s="3" t="inlineStr">
        <is>
          <t>Xã Hoài Thượng</t>
        </is>
      </c>
      <c r="G3" s="3" t="inlineStr">
        <is>
          <t>Xã Vạn Ninh</t>
        </is>
      </c>
      <c r="H3" s="3" t="inlineStr">
        <is>
          <t>Xã An Thịnh</t>
        </is>
      </c>
      <c r="J3" s="2" t="inlineStr">
        <is>
          <t>Huyện Yên Phong</t>
        </is>
      </c>
      <c r="L3" s="11" t="n"/>
      <c r="M3" s="11" t="n"/>
      <c r="N3" s="11" t="n"/>
      <c r="O3" s="11" t="n"/>
      <c r="P3" s="11" t="n"/>
      <c r="Q3" s="11" t="n"/>
      <c r="R3" s="11" t="n"/>
    </row>
    <row r="4" ht="31.5" customHeight="1">
      <c r="A4" s="3" t="inlineStr">
        <is>
          <t>Phường Thị Cầu</t>
        </is>
      </c>
      <c r="B4" s="3" t="inlineStr">
        <is>
          <t>Phường Hương Mạc</t>
        </is>
      </c>
      <c r="C4" s="3" t="inlineStr">
        <is>
          <t>Xã Tam Đa</t>
        </is>
      </c>
      <c r="D4" s="3" t="inlineStr">
        <is>
          <t>Xã Đại Xuân</t>
        </is>
      </c>
      <c r="E4" s="3" t="inlineStr">
        <is>
          <t>Xã Nội Duệ</t>
        </is>
      </c>
      <c r="F4" s="3" t="inlineStr">
        <is>
          <t>Xã Đại Đồng Thành</t>
        </is>
      </c>
      <c r="G4" s="3" t="inlineStr">
        <is>
          <t>Xã Thái Bảo</t>
        </is>
      </c>
      <c r="H4" s="3" t="inlineStr">
        <is>
          <t>Xã Trung Kênh</t>
        </is>
      </c>
      <c r="J4" s="2" t="inlineStr">
        <is>
          <t>Huyện Quế Võ</t>
        </is>
      </c>
      <c r="L4" s="11" t="n"/>
      <c r="M4" s="11" t="n"/>
      <c r="N4" s="11" t="n"/>
      <c r="O4" s="11" t="n"/>
      <c r="P4" s="11" t="n"/>
      <c r="Q4" s="11" t="n"/>
      <c r="R4" s="11" t="n"/>
    </row>
    <row r="5" ht="31.5" customHeight="1">
      <c r="A5" s="3" t="inlineStr">
        <is>
          <t>Phường Kinh Bắc</t>
        </is>
      </c>
      <c r="B5" s="3" t="inlineStr">
        <is>
          <t>Phường Tương Giang</t>
        </is>
      </c>
      <c r="C5" s="3" t="inlineStr">
        <is>
          <t>Xã Tam Giang</t>
        </is>
      </c>
      <c r="D5" s="3" t="inlineStr">
        <is>
          <t>Xã Nhân Hòa</t>
        </is>
      </c>
      <c r="E5" s="3" t="inlineStr">
        <is>
          <t>Xã Liên Bão</t>
        </is>
      </c>
      <c r="F5" s="3" t="inlineStr">
        <is>
          <t>Xã Mão Điền</t>
        </is>
      </c>
      <c r="G5" s="3" t="inlineStr">
        <is>
          <t>Xã Giang Sơn</t>
        </is>
      </c>
      <c r="H5" s="3" t="inlineStr">
        <is>
          <t>Xã Phú Hòa</t>
        </is>
      </c>
      <c r="J5" s="2" t="inlineStr">
        <is>
          <t>Huyện Tiên Du</t>
        </is>
      </c>
      <c r="L5" s="11" t="n"/>
      <c r="M5" s="11" t="n"/>
      <c r="N5" s="11" t="n"/>
      <c r="O5" s="11" t="n"/>
      <c r="P5" s="11" t="n"/>
      <c r="Q5" s="11" t="n"/>
      <c r="R5" s="11" t="n"/>
    </row>
    <row r="6" ht="31.5" customHeight="1">
      <c r="A6" s="3" t="inlineStr">
        <is>
          <t>Phường Vệ An</t>
        </is>
      </c>
      <c r="B6" s="3" t="inlineStr">
        <is>
          <t>Phường Phù Khê</t>
        </is>
      </c>
      <c r="C6" s="3" t="inlineStr">
        <is>
          <t>Xã Yên Trung</t>
        </is>
      </c>
      <c r="D6" s="3" t="inlineStr">
        <is>
          <t>Xã Bằng An</t>
        </is>
      </c>
      <c r="E6" s="3" t="inlineStr">
        <is>
          <t>Xã Hiên Vân</t>
        </is>
      </c>
      <c r="F6" s="3" t="inlineStr">
        <is>
          <t>Xã Song Hồ</t>
        </is>
      </c>
      <c r="G6" s="3" t="inlineStr">
        <is>
          <t>Xã Cao Đức</t>
        </is>
      </c>
      <c r="H6" s="3" t="inlineStr">
        <is>
          <t>Xã Mỹ Hương</t>
        </is>
      </c>
      <c r="J6" s="2" t="inlineStr">
        <is>
          <t>Huyện Thuận Thành</t>
        </is>
      </c>
      <c r="L6" s="11" t="n"/>
      <c r="M6" s="11" t="n"/>
      <c r="N6" s="11" t="n"/>
      <c r="O6" s="11" t="n"/>
      <c r="P6" s="11" t="n"/>
      <c r="Q6" s="11" t="n"/>
      <c r="R6" s="11" t="n"/>
    </row>
    <row r="7" ht="31.5" customHeight="1">
      <c r="A7" s="3" t="inlineStr">
        <is>
          <t>Phường Tiền An</t>
        </is>
      </c>
      <c r="B7" s="3" t="inlineStr">
        <is>
          <t>Phường Đồng Kỵ</t>
        </is>
      </c>
      <c r="C7" s="3" t="inlineStr">
        <is>
          <t>Xã Thụy Hòa</t>
        </is>
      </c>
      <c r="D7" s="3" t="inlineStr">
        <is>
          <t>Xã Phương Liễu</t>
        </is>
      </c>
      <c r="E7" s="3" t="inlineStr">
        <is>
          <t>Xã Hoàn Sơn</t>
        </is>
      </c>
      <c r="F7" s="3" t="inlineStr">
        <is>
          <t>Xã Đình Tổ</t>
        </is>
      </c>
      <c r="G7" s="3" t="inlineStr">
        <is>
          <t>Xã Đại Lai</t>
        </is>
      </c>
      <c r="H7" s="3" t="inlineStr">
        <is>
          <t>Xã Tân Lãng</t>
        </is>
      </c>
      <c r="J7" s="2" t="inlineStr">
        <is>
          <t>Huyện Gia Bình</t>
        </is>
      </c>
      <c r="L7" s="11" t="n"/>
      <c r="M7" s="11" t="n"/>
      <c r="N7" s="11" t="n"/>
      <c r="O7" s="11" t="n"/>
      <c r="P7" s="11" t="n"/>
      <c r="Q7" s="11" t="n"/>
      <c r="R7" s="11" t="n"/>
    </row>
    <row r="8" ht="31.5" customHeight="1">
      <c r="A8" s="3" t="inlineStr">
        <is>
          <t>Phường Đại Phúc</t>
        </is>
      </c>
      <c r="B8" s="3" t="inlineStr">
        <is>
          <t>Phường Trang Hạ</t>
        </is>
      </c>
      <c r="C8" s="3" t="inlineStr">
        <is>
          <t>Xã Hòa Tiến</t>
        </is>
      </c>
      <c r="D8" s="3" t="inlineStr">
        <is>
          <t>Xã Quế Tân</t>
        </is>
      </c>
      <c r="E8" s="3" t="inlineStr">
        <is>
          <t>Xã Lạc Vệ</t>
        </is>
      </c>
      <c r="F8" s="3" t="inlineStr">
        <is>
          <t>Xã An Bình</t>
        </is>
      </c>
      <c r="G8" s="3" t="inlineStr">
        <is>
          <t>Xã Song Giang</t>
        </is>
      </c>
      <c r="H8" s="3" t="inlineStr">
        <is>
          <t>Xã Quảng Phú</t>
        </is>
      </c>
      <c r="J8" s="2" t="inlineStr">
        <is>
          <t>Huyện Lương Tài</t>
        </is>
      </c>
      <c r="L8" s="11" t="n"/>
      <c r="M8" s="11" t="n"/>
      <c r="N8" s="11" t="n"/>
      <c r="O8" s="11" t="n"/>
      <c r="P8" s="11" t="n"/>
      <c r="Q8" s="11" t="n"/>
      <c r="R8" s="11" t="n"/>
    </row>
    <row r="9" ht="31.5" customHeight="1">
      <c r="A9" s="3" t="inlineStr">
        <is>
          <t>Phường Ninh Xá</t>
        </is>
      </c>
      <c r="B9" s="3" t="inlineStr">
        <is>
          <t>Phường Đồng Nguyên</t>
        </is>
      </c>
      <c r="C9" s="3" t="inlineStr">
        <is>
          <t>Xã Đông Tiến</t>
        </is>
      </c>
      <c r="D9" s="3" t="inlineStr">
        <is>
          <t>Xã Phù Lương</t>
        </is>
      </c>
      <c r="E9" s="3" t="inlineStr">
        <is>
          <t>Xã Việt Đoàn</t>
        </is>
      </c>
      <c r="F9" s="3" t="inlineStr">
        <is>
          <t>Xã Trí Quả</t>
        </is>
      </c>
      <c r="G9" s="3" t="inlineStr">
        <is>
          <t>Xã Bình Dương</t>
        </is>
      </c>
      <c r="H9" s="3" t="inlineStr">
        <is>
          <t>Xã Trừng Xá</t>
        </is>
      </c>
      <c r="L9" s="11" t="n"/>
      <c r="M9" s="11" t="n"/>
      <c r="N9" s="11" t="n"/>
      <c r="O9" s="11" t="n"/>
      <c r="P9" s="11" t="n"/>
      <c r="Q9" s="11" t="n"/>
      <c r="R9" s="11" t="n"/>
    </row>
    <row r="10" ht="31.5" customHeight="1">
      <c r="A10" s="3" t="inlineStr">
        <is>
          <t>Phường Suối Hoa</t>
        </is>
      </c>
      <c r="B10" s="3" t="inlineStr">
        <is>
          <t>Phường Châu Khê</t>
        </is>
      </c>
      <c r="C10" s="3" t="inlineStr">
        <is>
          <t>Xã Yên Phụ</t>
        </is>
      </c>
      <c r="D10" s="3" t="inlineStr">
        <is>
          <t>Xã Phù Lãng</t>
        </is>
      </c>
      <c r="E10" s="3" t="inlineStr">
        <is>
          <t>Xã Phật Tích</t>
        </is>
      </c>
      <c r="F10" s="3" t="inlineStr">
        <is>
          <t>Xã Gia Đông</t>
        </is>
      </c>
      <c r="G10" s="3" t="inlineStr">
        <is>
          <t>Xã Lãng Ngâm</t>
        </is>
      </c>
      <c r="H10" s="3" t="inlineStr">
        <is>
          <t>Xã Lai Hạ</t>
        </is>
      </c>
      <c r="L10" s="11" t="n"/>
      <c r="M10" s="11" t="n"/>
      <c r="N10" s="11" t="n"/>
      <c r="O10" s="11" t="n"/>
      <c r="P10" s="11" t="n"/>
      <c r="Q10" s="11" t="n"/>
      <c r="R10" s="11" t="n"/>
    </row>
    <row r="11" ht="31.5" customHeight="1">
      <c r="A11" s="3" t="inlineStr">
        <is>
          <t>Phường Võ Cường</t>
        </is>
      </c>
      <c r="B11" s="3" t="inlineStr">
        <is>
          <t>Phường Tân Hồng</t>
        </is>
      </c>
      <c r="C11" s="3" t="inlineStr">
        <is>
          <t>Xã Trung Nghĩa</t>
        </is>
      </c>
      <c r="D11" s="3" t="inlineStr">
        <is>
          <t>Xã Phượng Mao</t>
        </is>
      </c>
      <c r="E11" s="3" t="inlineStr">
        <is>
          <t>Xã Tân Chi</t>
        </is>
      </c>
      <c r="F11" s="3" t="inlineStr">
        <is>
          <t>Xã Thanh Khương</t>
        </is>
      </c>
      <c r="G11" s="3" t="inlineStr">
        <is>
          <t>Xã Nhân Thắng</t>
        </is>
      </c>
      <c r="H11" s="3" t="inlineStr">
        <is>
          <t>Xã Trung Chính</t>
        </is>
      </c>
      <c r="L11" s="11" t="n"/>
      <c r="M11" s="11" t="n"/>
      <c r="N11" s="11" t="n"/>
      <c r="O11" s="11" t="n"/>
      <c r="P11" s="11" t="n"/>
      <c r="Q11" s="11" t="n"/>
      <c r="R11" s="11" t="n"/>
    </row>
    <row r="12" ht="31.5" customHeight="1">
      <c r="A12" s="3" t="inlineStr">
        <is>
          <t>Phường Hòa Long</t>
        </is>
      </c>
      <c r="B12" s="3" t="inlineStr">
        <is>
          <t>Phường Đình Bảng</t>
        </is>
      </c>
      <c r="C12" s="3" t="inlineStr">
        <is>
          <t>Xã Đông Phong</t>
        </is>
      </c>
      <c r="D12" s="3" t="inlineStr">
        <is>
          <t>Xã Việt Hùng</t>
        </is>
      </c>
      <c r="E12" s="3" t="inlineStr">
        <is>
          <t>Xã Đại Đồng</t>
        </is>
      </c>
      <c r="F12" s="3" t="inlineStr">
        <is>
          <t>Xã Trạm Lộ</t>
        </is>
      </c>
      <c r="G12" s="3" t="inlineStr">
        <is>
          <t>Xã Xuân Lai</t>
        </is>
      </c>
      <c r="H12" s="3" t="inlineStr">
        <is>
          <t>Xã Minh Tân</t>
        </is>
      </c>
      <c r="L12" s="11" t="n"/>
      <c r="M12" s="11" t="n"/>
      <c r="N12" s="11" t="n"/>
      <c r="O12" s="11" t="n"/>
      <c r="P12" s="11" t="n"/>
      <c r="Q12" s="11" t="n"/>
      <c r="R12" s="11" t="n"/>
    </row>
    <row r="13">
      <c r="A13" s="3" t="inlineStr">
        <is>
          <t>Phường Vạn An</t>
        </is>
      </c>
      <c r="B13" s="3" t="inlineStr">
        <is>
          <t>Phường Phù Chẩn</t>
        </is>
      </c>
      <c r="C13" s="3" t="inlineStr">
        <is>
          <t>Xã Long Châu</t>
        </is>
      </c>
      <c r="D13" s="3" t="inlineStr">
        <is>
          <t>Xã Ngọc Xá</t>
        </is>
      </c>
      <c r="E13" s="3" t="inlineStr">
        <is>
          <t>Xã Tri Phương</t>
        </is>
      </c>
      <c r="F13" s="3" t="inlineStr">
        <is>
          <t>Xã Xuân Lâm</t>
        </is>
      </c>
      <c r="G13" s="3" t="inlineStr">
        <is>
          <t>Xã Đông Cứu</t>
        </is>
      </c>
      <c r="H13" s="3" t="inlineStr">
        <is>
          <t>Xã Bình Định</t>
        </is>
      </c>
    </row>
    <row r="14">
      <c r="A14" s="3" t="inlineStr">
        <is>
          <t>Phường Khúc Xuyên</t>
        </is>
      </c>
      <c r="C14" s="3" t="inlineStr">
        <is>
          <t>Xã Văn Môn</t>
        </is>
      </c>
      <c r="D14" s="3" t="inlineStr">
        <is>
          <t>Xã Châu Phong</t>
        </is>
      </c>
      <c r="E14" s="3" t="inlineStr">
        <is>
          <t>Xã Minh Đạo</t>
        </is>
      </c>
      <c r="F14" s="3" t="inlineStr">
        <is>
          <t>Xã Hà Mãn</t>
        </is>
      </c>
      <c r="G14" s="3" t="inlineStr">
        <is>
          <t>Xã Đại Bái</t>
        </is>
      </c>
      <c r="H14" s="3" t="inlineStr">
        <is>
          <t>Xã Phú Lương</t>
        </is>
      </c>
    </row>
    <row r="15">
      <c r="A15" s="3" t="inlineStr">
        <is>
          <t>Phường Phong Khê</t>
        </is>
      </c>
      <c r="C15" s="3" t="inlineStr">
        <is>
          <t>Xã Đông Thọ</t>
        </is>
      </c>
      <c r="D15" s="3" t="inlineStr">
        <is>
          <t>Xã Bồng Lai</t>
        </is>
      </c>
      <c r="E15" s="3" t="inlineStr">
        <is>
          <t>Xã Cảnh Hưng</t>
        </is>
      </c>
      <c r="F15" s="3" t="inlineStr">
        <is>
          <t>Xã Ngũ Thái</t>
        </is>
      </c>
      <c r="G15" s="3" t="inlineStr">
        <is>
          <t>Xã Quỳnh Phú</t>
        </is>
      </c>
      <c r="H15" s="3" t="inlineStr">
        <is>
          <t>Xã Lâm Thao</t>
        </is>
      </c>
    </row>
    <row r="16">
      <c r="A16" s="3" t="inlineStr">
        <is>
          <t>Phường Kim Chân</t>
        </is>
      </c>
      <c r="D16" s="3" t="inlineStr">
        <is>
          <t>Xã Cách Bi</t>
        </is>
      </c>
      <c r="F16" s="3" t="inlineStr">
        <is>
          <t>Xã Nguyệt Đức</t>
        </is>
      </c>
    </row>
    <row r="17">
      <c r="A17" s="3" t="inlineStr">
        <is>
          <t>Phường Vân Dương</t>
        </is>
      </c>
      <c r="D17" s="3" t="inlineStr">
        <is>
          <t>Xã Đào Viên</t>
        </is>
      </c>
      <c r="F17" s="3" t="inlineStr">
        <is>
          <t>Xã Ninh Xá</t>
        </is>
      </c>
    </row>
    <row r="18">
      <c r="A18" s="3" t="inlineStr">
        <is>
          <t>Phường Nam Sơn</t>
        </is>
      </c>
      <c r="D18" s="3" t="inlineStr">
        <is>
          <t>Xã Yên Giả</t>
        </is>
      </c>
      <c r="F18" s="3" t="inlineStr">
        <is>
          <t>Xã Nghĩa Đạo</t>
        </is>
      </c>
    </row>
    <row r="19">
      <c r="A19" s="3" t="inlineStr">
        <is>
          <t>Phường Khắc Niệm</t>
        </is>
      </c>
      <c r="D19" s="3" t="inlineStr">
        <is>
          <t>Xã Mộ Đạo</t>
        </is>
      </c>
      <c r="F19" s="3" t="inlineStr">
        <is>
          <t>Xã Song Liễu</t>
        </is>
      </c>
    </row>
    <row r="20">
      <c r="A20" s="3" t="inlineStr">
        <is>
          <t>Phường Hạp Lĩnh</t>
        </is>
      </c>
      <c r="D20" s="3" t="inlineStr">
        <is>
          <t>Xã Đức Long</t>
        </is>
      </c>
    </row>
    <row r="21">
      <c r="D21" s="3" t="inlineStr">
        <is>
          <t>Xã Chi Lăng</t>
        </is>
      </c>
    </row>
    <row r="22">
      <c r="D22" s="3" t="inlineStr">
        <is>
          <t>Xã Hán Quảng</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2:A10"/>
  <sheetViews>
    <sheetView topLeftCell="A8" workbookViewId="0">
      <selection activeCell="A4" sqref="A4"/>
    </sheetView>
  </sheetViews>
  <sheetFormatPr baseColWidth="8" defaultRowHeight="14.4"/>
  <cols>
    <col width="38.33203125" customWidth="1" min="1" max="1"/>
  </cols>
  <sheetData>
    <row r="2" ht="21" customHeight="1">
      <c r="A2" s="8" t="inlineStr">
        <is>
          <t>Các lưu ý khi nhập dữ liệu</t>
        </is>
      </c>
    </row>
    <row r="3" ht="37.5" customHeight="1">
      <c r="A3" s="9" t="inlineStr">
        <is>
          <t>1. Không Đổi tên, đổi thứ tự sắp xếp các Sheet</t>
        </is>
      </c>
    </row>
    <row r="4" ht="37.5" customHeight="1">
      <c r="A4" s="9" t="inlineStr">
        <is>
          <t>2. Chỉ nhập thông tin tại Sheet "Mau 4"</t>
        </is>
      </c>
    </row>
    <row r="5" ht="37.5" customHeight="1">
      <c r="A5" s="9" t="inlineStr">
        <is>
          <t>3. Các Sheet "Danh mục", "Địa chỉ" không cập nhật, chỉnh sửa</t>
        </is>
      </c>
    </row>
    <row r="6" ht="37.5" customHeight="1">
      <c r="A6" s="9" t="inlineStr">
        <is>
          <t>4. Không thêm mới cột dữ liệu trong Sheet "Mau 4"</t>
        </is>
      </c>
    </row>
    <row r="7" ht="56.25" customHeight="1">
      <c r="A7" s="9" t="inlineStr">
        <is>
          <t>5. Định dạng các cột đã được cấu hình, người nhập khống sửa lại định dạng các cột  dữ liệu</t>
        </is>
      </c>
    </row>
    <row r="8" ht="112.5" customHeight="1">
      <c r="A8" s="9" t="inlineStr">
        <is>
          <t>6. Đối với các cột dữ liệu như Số CMND, Số CCCD, Số điện thoại, số hợp đồng … người nhập lưu ý không nhập khoảng trắng trước, trong, sau dữ liệu để đảm bảo hệ thống lưu được chính xác</t>
        </is>
      </c>
    </row>
    <row r="9" ht="150" customHeight="1">
      <c r="A9" s="9" t="inlineStr">
        <is>
          <t>7. Đối với cột "Thành phố/huyện", "Thị trấn/xã" là cột dữ liệu lựa chọn đơn vị thuộc tỉnh Bắc Ninh người nhập lưu ý khi merge các hàng của trường dữ liệu này kiểm tra lại dữ liệu hiển thị đã đúng với dữ liệu mong muốn chưa</t>
        </is>
      </c>
    </row>
    <row r="10" ht="75" customHeight="1">
      <c r="A10" s="9" t="inlineStr">
        <is>
          <t>8. Dữ liệu của một hộ gia đình bắt buộc phải có "Chủ hộ" được lựa chọn ở cột "Quan hệ với chủ hộ"</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PC_KinhDoanh</dc:creator>
  <dcterms:created xmlns:dcterms="http://purl.org/dc/terms/" xmlns:xsi="http://www.w3.org/2001/XMLSchema-instance" xsi:type="dcterms:W3CDTF">2006-09-16T00:00:00Z</dcterms:created>
  <dcterms:modified xmlns:dcterms="http://purl.org/dc/terms/" xmlns:xsi="http://www.w3.org/2001/XMLSchema-instance" xsi:type="dcterms:W3CDTF">2026-10-27T15:41:53Z</dcterms:modified>
  <cp:lastModifiedBy>HP</cp:lastModifiedBy>
</cp:coreProperties>
</file>

<file path=docProps/custom.xml><?xml version="1.0" encoding="utf-8"?>
<Properties xmlns="http://schemas.openxmlformats.org/officeDocument/2006/custom-properties">
  <property name="MediaServiceImageTags" fmtid="{D5CDD505-2E9C-101B-9397-08002B2CF9AE}" pid="2">
    <vt:lpwstr xmlns:vt="http://schemas.openxmlformats.org/officeDocument/2006/docPropsVTypes"/>
  </property>
  <property name="ContentTypeId" fmtid="{D5CDD505-2E9C-101B-9397-08002B2CF9AE}" pid="3">
    <vt:lpwstr xmlns:vt="http://schemas.openxmlformats.org/officeDocument/2006/docPropsVTypes">0x010100FBDCE695369E844DBEAD60D48BFD6E28</vt:lpwstr>
  </property>
  <property name="Order" fmtid="{D5CDD505-2E9C-101B-9397-08002B2CF9AE}" pid="4">
    <vt:r8 xmlns:vt="http://schemas.openxmlformats.org/officeDocument/2006/docPropsVTypes">98200</vt:r8>
  </property>
  <property name="_ExtendedDescription" fmtid="{D5CDD505-2E9C-101B-9397-08002B2CF9AE}" pid="5">
    <vt:lpwstr xmlns:vt="http://schemas.openxmlformats.org/officeDocument/2006/docPropsVTypes"/>
  </property>
  <property name="TriggerFlowInfo" fmtid="{D5CDD505-2E9C-101B-9397-08002B2CF9AE}" pid="6">
    <vt:lpwstr xmlns:vt="http://schemas.openxmlformats.org/officeDocument/2006/docPropsVTypes"/>
  </property>
  <property name="ComplianceAssetId" fmtid="{D5CDD505-2E9C-101B-9397-08002B2CF9AE}" pid="7">
    <vt:lpwstr xmlns:vt="http://schemas.openxmlformats.org/officeDocument/2006/docPropsVTypes"/>
  </property>
</Properties>
</file>